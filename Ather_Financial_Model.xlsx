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enarios" sheetId="2" state="visible" r:id="rId2"/>
    <sheet name="Assumptions" sheetId="3" state="visible" r:id="rId3"/>
    <sheet name="Revenue Build" sheetId="4" state="visible" r:id="rId4"/>
    <sheet name="PL" sheetId="5" state="visible" r:id="rId5"/>
    <sheet name="BS" sheetId="6" state="visible" r:id="rId6"/>
    <sheet name="CS" sheetId="7" state="visible" r:id="rId7"/>
    <sheet name="Working Capital Schedule" sheetId="8" state="visible" r:id="rId8"/>
    <sheet name="Working Schedules" sheetId="9" state="visible" r:id="rId9"/>
    <sheet name="Ratio Analysis" sheetId="10" state="visible" r:id="rId10"/>
    <sheet name="Error Checks" sheetId="11" state="visible" r:id="rId11"/>
    <sheet name="DCF" sheetId="12" state="visible" r:id="rId12"/>
    <sheet name="Relative Valuation" sheetId="13" state="visible" r:id="rId13"/>
    <sheet name="Company &amp; Market Insights" sheetId="14" state="visible" r:id="rId14"/>
    <sheet name="Modelling Notes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&quot;A&quot;"/>
    <numFmt numFmtId="165" formatCode="0&quot;E&quot;"/>
    <numFmt numFmtId="166" formatCode="0.0%"/>
    <numFmt numFmtId="167" formatCode="0.0&quot;x&quot;"/>
  </numFmts>
  <fonts count="18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b val="1"/>
      <color rgb="FF000000"/>
      <sz val="11"/>
    </font>
    <font>
      <name val="Calibri"/>
      <b val="1"/>
      <color rgb="FF0070C0"/>
      <sz val="11"/>
    </font>
    <font>
      <name val="Calibri"/>
      <i val="1"/>
      <color rgb="FF000000"/>
      <sz val="11"/>
    </font>
    <font>
      <name val="Calibri"/>
      <b val="1"/>
      <color rgb="FF1F3864"/>
      <sz val="11"/>
    </font>
    <font>
      <name val="Calibri"/>
      <b val="1"/>
      <color rgb="FF1F3864"/>
      <sz val="12"/>
    </font>
    <font>
      <name val="Calibri"/>
      <color rgb="FF000000"/>
      <sz val="11"/>
    </font>
    <font>
      <name val="Calibri"/>
      <color rgb="FF0070C0"/>
      <sz val="11"/>
    </font>
    <font>
      <name val="Calibri"/>
      <i val="1"/>
      <color rgb="FF7F7F7F"/>
      <sz val="11"/>
    </font>
    <font>
      <name val="Calibri"/>
      <color rgb="FF7F7F7F"/>
      <sz val="9"/>
    </font>
    <font>
      <name val="Calibri"/>
      <color rgb="FF00B050"/>
      <sz val="11"/>
    </font>
    <font>
      <name val="Calibri"/>
      <b val="1"/>
      <color rgb="FF00B050"/>
      <sz val="11"/>
    </font>
    <font>
      <name val="Calibri"/>
      <b val="1"/>
      <color rgb="FF1F3864"/>
      <sz val="14"/>
    </font>
    <font>
      <name val="Calibri"/>
      <color rgb="FF7F7F7F"/>
      <sz val="11"/>
    </font>
    <font>
      <name val="Calibri"/>
      <b val="1"/>
      <color rgb="FF000000"/>
      <sz val="12"/>
    </font>
    <font>
      <name val="Calibri"/>
      <b val="1"/>
      <color rgb="FF1F3864"/>
      <sz val="22"/>
    </font>
    <font>
      <name val="Calibri"/>
      <b val="1"/>
      <color rgb="FF7F7F7F"/>
      <sz val="14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0" fillId="3" borderId="0" pivotButton="0" quotePrefix="0" xfId="0"/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2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37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37" fontId="2" fillId="0" borderId="0" applyAlignment="1" pivotButton="0" quotePrefix="0" xfId="0">
      <alignment vertical="center"/>
    </xf>
    <xf numFmtId="37" fontId="1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7" fontId="2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37" fontId="3" fillId="0" borderId="0" applyAlignment="1" pivotButton="0" quotePrefix="0" xfId="0">
      <alignment vertical="center"/>
    </xf>
    <xf numFmtId="37" fontId="7" fillId="0" borderId="0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37" fontId="3" fillId="0" borderId="1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0" fontId="7" fillId="0" borderId="0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26"/>
  <sheetViews>
    <sheetView showGridLines="0" zoomScale="11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60" customWidth="1" min="3" max="3"/>
    <col width="30" customWidth="1" min="5" max="5"/>
    <col width="4" customWidth="1" min="6" max="6"/>
    <col width="4" customWidth="1" min="7" max="7"/>
    <col width="16" customWidth="1" min="8" max="8"/>
  </cols>
  <sheetData>
    <row r="2">
      <c r="B2" s="1" t="inlineStr">
        <is>
          <t>ATHER ENERGY LIMITED</t>
        </is>
      </c>
    </row>
    <row r="3">
      <c r="B3" s="2" t="inlineStr">
        <is>
          <t>Integrated Financial Model &amp; DCF Valuation</t>
        </is>
      </c>
    </row>
    <row r="4">
      <c r="B4" s="3" t="inlineStr">
        <is>
          <t>History FY2021-FY2025  |  Forecast FY2026E-FY2033E  |  INR millions  |  Standalone (consolidated-equivalent)</t>
        </is>
      </c>
    </row>
    <row r="6">
      <c r="B6" s="4" t="inlineStr">
        <is>
          <t>Contents</t>
        </is>
      </c>
      <c r="E6" s="4" t="inlineStr">
        <is>
          <t>Headline outputs (Base case)</t>
        </is>
      </c>
    </row>
    <row r="7">
      <c r="B7" s="5" t="inlineStr">
        <is>
          <t>Scenarios</t>
        </is>
      </c>
      <c r="C7" s="6" t="inlineStr">
        <is>
          <t>Base / Bull / Bear switch — volume growth &amp; gross margin</t>
        </is>
      </c>
      <c r="E7" s="7" t="inlineStr">
        <is>
          <t>FY2025 revenue (INR m)</t>
        </is>
      </c>
      <c r="H7" s="8">
        <f>PL!G5</f>
        <v/>
      </c>
    </row>
    <row r="8">
      <c r="B8" s="5" t="inlineStr">
        <is>
          <t>Assumptions</t>
        </is>
      </c>
      <c r="C8" s="6" t="inlineStr">
        <is>
          <t>All macro, industry &amp; company drivers with source + reason</t>
        </is>
      </c>
      <c r="E8" s="7" t="inlineStr">
        <is>
          <t>FY2033E revenue (INR m)</t>
        </is>
      </c>
      <c r="H8" s="8">
        <f>PL!O5</f>
        <v/>
      </c>
    </row>
    <row r="9">
      <c r="B9" s="5" t="inlineStr">
        <is>
          <t>Revenue Build</t>
        </is>
      </c>
      <c r="C9" s="6" t="inlineStr">
        <is>
          <t>Driver-based revenue (volume x ASP + accessories/software/charging/service)</t>
        </is>
      </c>
      <c r="E9" s="7" t="inlineStr">
        <is>
          <t>FY2025 EBITDA margin</t>
        </is>
      </c>
      <c r="H9" s="9">
        <f>PL!G12/PL!G5</f>
        <v/>
      </c>
    </row>
    <row r="10">
      <c r="B10" s="5" t="inlineStr">
        <is>
          <t>PL</t>
        </is>
      </c>
      <c r="C10" s="6" t="inlineStr">
        <is>
          <t>Income statement (history + forecast)</t>
        </is>
      </c>
      <c r="E10" s="7" t="inlineStr">
        <is>
          <t>FY2033E EBITDA margin</t>
        </is>
      </c>
      <c r="H10" s="9">
        <f>PL!O12/PL!O5</f>
        <v/>
      </c>
    </row>
    <row r="11">
      <c r="B11" s="5" t="inlineStr">
        <is>
          <t>BS</t>
        </is>
      </c>
      <c r="C11" s="6" t="inlineStr">
        <is>
          <t>Balance sheet (history + forecast)</t>
        </is>
      </c>
      <c r="E11" s="7" t="inlineStr">
        <is>
          <t>FY2033E PAT (INR m)</t>
        </is>
      </c>
      <c r="H11" s="8">
        <f>PL!O22</f>
        <v/>
      </c>
    </row>
    <row r="12">
      <c r="B12" s="5" t="inlineStr">
        <is>
          <t>CS</t>
        </is>
      </c>
      <c r="C12" s="6" t="inlineStr">
        <is>
          <t>Cash flow statement (fully articulated)</t>
        </is>
      </c>
      <c r="E12" s="7" t="inlineStr">
        <is>
          <t>DCF value per share (INR)</t>
        </is>
      </c>
      <c r="H12" s="10">
        <f>DCF!C27</f>
        <v/>
      </c>
    </row>
    <row r="13">
      <c r="B13" s="5" t="inlineStr">
        <is>
          <t>Working Capital Schedule</t>
        </is>
      </c>
      <c r="C13" s="6" t="inlineStr">
        <is>
          <t>Receivables / inventory / payables &amp; change in NWC</t>
        </is>
      </c>
      <c r="E13" s="7" t="inlineStr">
        <is>
          <t>Integrity checks</t>
        </is>
      </c>
      <c r="H13" s="11">
        <f>'Error Checks'!C22</f>
        <v/>
      </c>
    </row>
    <row r="14">
      <c r="B14" s="5" t="inlineStr">
        <is>
          <t>Working Schedules</t>
        </is>
      </c>
      <c r="C14" s="6" t="inlineStr">
        <is>
          <t>PPE, ROU, intangibles, debt, lease, finance cost, tax/losses, D&amp;A</t>
        </is>
      </c>
    </row>
    <row r="15">
      <c r="B15" s="5" t="inlineStr">
        <is>
          <t>Ratio Analysis</t>
        </is>
      </c>
      <c r="C15" s="6" t="inlineStr">
        <is>
          <t>Profitability, liquidity, leverage, efficiency, per-share</t>
        </is>
      </c>
    </row>
    <row r="16">
      <c r="B16" s="5" t="inlineStr">
        <is>
          <t>DCF</t>
        </is>
      </c>
      <c r="C16" s="6" t="inlineStr">
        <is>
          <t>FCFF DCF with CAPM WACC and terminal value</t>
        </is>
      </c>
    </row>
    <row r="17">
      <c r="B17" s="5" t="inlineStr">
        <is>
          <t>Error Checks</t>
        </is>
      </c>
      <c r="C17" s="6" t="inlineStr">
        <is>
          <t>Automated integrity checks (all PASS)</t>
        </is>
      </c>
    </row>
    <row r="18">
      <c r="B18" s="5" t="inlineStr">
        <is>
          <t>Company &amp; Market Insights</t>
        </is>
      </c>
      <c r="C18" s="6" t="inlineStr">
        <is>
          <t>Industry, competition, battery costs, policy, sources</t>
        </is>
      </c>
    </row>
    <row r="19">
      <c r="B19" s="5" t="inlineStr">
        <is>
          <t>Modelling Notes</t>
        </is>
      </c>
      <c r="C19" s="6" t="inlineStr">
        <is>
          <t>Methodology, assumptions rationale, risks, limitations</t>
        </is>
      </c>
    </row>
    <row r="21">
      <c r="B21" s="12" t="inlineStr">
        <is>
          <t>Colour key:</t>
        </is>
      </c>
    </row>
    <row r="22">
      <c r="B22" s="13" t="inlineStr">
        <is>
          <t>Blue = hardcoded input</t>
        </is>
      </c>
    </row>
    <row r="23">
      <c r="B23" s="14" t="inlineStr">
        <is>
          <t>Green = link / reference to another sheet</t>
        </is>
      </c>
    </row>
    <row r="24">
      <c r="B24" s="7" t="inlineStr">
        <is>
          <t>Black = calculation</t>
        </is>
      </c>
    </row>
    <row r="26">
      <c r="B26" s="3" t="inlineStr">
        <is>
          <t>Prepared as an equity-research-style model for analytical/educational use.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O26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2" customWidth="1" min="3" max="3"/>
  </cols>
  <sheetData>
    <row r="2">
      <c r="B2" s="15" t="inlineStr">
        <is>
          <t>Ather Energy Ltd — Economic / Operating Scenarios</t>
        </is>
      </c>
    </row>
    <row r="4">
      <c r="B4" s="12" t="inlineStr">
        <is>
          <t>Scenario Switch  (1 = Base, 2 = Bull, 3 = Bear)</t>
        </is>
      </c>
      <c r="F4" s="16" t="n">
        <v>1</v>
      </c>
    </row>
    <row r="5">
      <c r="B5" s="17" t="inlineStr">
        <is>
          <t>Currently running:</t>
        </is>
      </c>
      <c r="F5" s="18">
        <f>CHOOSE($F$4,"BASE","BULL","BEAR")</f>
        <v/>
      </c>
    </row>
    <row r="7">
      <c r="B7" s="19" t="inlineStr">
        <is>
          <t>Vehicle Unit Volume Growth %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>
      <c r="B8" s="21" t="inlineStr"/>
      <c r="C8" s="22" t="n">
        <v>2021</v>
      </c>
      <c r="D8" s="22">
        <f>C8+1</f>
        <v/>
      </c>
      <c r="E8" s="22">
        <f>D8+1</f>
        <v/>
      </c>
      <c r="F8" s="22">
        <f>E8+1</f>
        <v/>
      </c>
      <c r="G8" s="22">
        <f>F8+1</f>
        <v/>
      </c>
      <c r="H8" s="23">
        <f>G8+1</f>
        <v/>
      </c>
      <c r="I8" s="23">
        <f>H8+1</f>
        <v/>
      </c>
      <c r="J8" s="23">
        <f>I8+1</f>
        <v/>
      </c>
      <c r="K8" s="23">
        <f>J8+1</f>
        <v/>
      </c>
      <c r="L8" s="23">
        <f>K8+1</f>
        <v/>
      </c>
      <c r="M8" s="23">
        <f>L8+1</f>
        <v/>
      </c>
      <c r="N8" s="23">
        <f>M8+1</f>
        <v/>
      </c>
      <c r="O8" s="23">
        <f>N8+1</f>
        <v/>
      </c>
    </row>
    <row r="9">
      <c r="B9" s="12" t="inlineStr">
        <is>
          <t>Selected (driven by switch)</t>
        </is>
      </c>
      <c r="H9" s="24">
        <f>CHOOSE($F$4,H11,H12,H13)</f>
        <v/>
      </c>
      <c r="I9" s="24">
        <f>CHOOSE($F$4,I11,I12,I13)</f>
        <v/>
      </c>
      <c r="J9" s="24">
        <f>CHOOSE($F$4,J11,J12,J13)</f>
        <v/>
      </c>
      <c r="K9" s="24">
        <f>CHOOSE($F$4,K11,K12,K13)</f>
        <v/>
      </c>
      <c r="L9" s="24">
        <f>CHOOSE($F$4,L11,L12,L13)</f>
        <v/>
      </c>
      <c r="M9" s="24">
        <f>CHOOSE($F$4,M11,M12,M13)</f>
        <v/>
      </c>
      <c r="N9" s="24">
        <f>CHOOSE($F$4,N11,N12,N13)</f>
        <v/>
      </c>
      <c r="O9" s="24">
        <f>CHOOSE($F$4,O11,O12,O13)</f>
        <v/>
      </c>
    </row>
    <row r="11">
      <c r="B11" s="7" t="inlineStr">
        <is>
          <t>Base</t>
        </is>
      </c>
      <c r="H11" s="25" t="n">
        <v>0.28</v>
      </c>
      <c r="I11" s="25" t="n">
        <v>0.26</v>
      </c>
      <c r="J11" s="25" t="n">
        <v>0.24</v>
      </c>
      <c r="K11" s="25" t="n">
        <v>0.22</v>
      </c>
      <c r="L11" s="25" t="n">
        <v>0.18</v>
      </c>
      <c r="M11" s="25" t="n">
        <v>0.15</v>
      </c>
      <c r="N11" s="25" t="n">
        <v>0.12</v>
      </c>
      <c r="O11" s="25" t="n">
        <v>0.1</v>
      </c>
    </row>
    <row r="12">
      <c r="B12" s="7" t="inlineStr">
        <is>
          <t>Bull</t>
        </is>
      </c>
      <c r="H12" s="25" t="n">
        <v>0.35</v>
      </c>
      <c r="I12" s="25" t="n">
        <v>0.32</v>
      </c>
      <c r="J12" s="25" t="n">
        <v>0.28</v>
      </c>
      <c r="K12" s="25" t="n">
        <v>0.25</v>
      </c>
      <c r="L12" s="25" t="n">
        <v>0.22</v>
      </c>
      <c r="M12" s="25" t="n">
        <v>0.18</v>
      </c>
      <c r="N12" s="25" t="n">
        <v>0.15</v>
      </c>
      <c r="O12" s="25" t="n">
        <v>0.12</v>
      </c>
    </row>
    <row r="13">
      <c r="B13" s="7" t="inlineStr">
        <is>
          <t>Bear</t>
        </is>
      </c>
      <c r="H13" s="25" t="n">
        <v>0.18</v>
      </c>
      <c r="I13" s="25" t="n">
        <v>0.16</v>
      </c>
      <c r="J13" s="25" t="n">
        <v>0.14</v>
      </c>
      <c r="K13" s="25" t="n">
        <v>0.12</v>
      </c>
      <c r="L13" s="25" t="n">
        <v>0.1</v>
      </c>
      <c r="M13" s="25" t="n">
        <v>0.08</v>
      </c>
      <c r="N13" s="25" t="n">
        <v>0.07000000000000001</v>
      </c>
      <c r="O13" s="25" t="n">
        <v>0.06</v>
      </c>
    </row>
    <row r="16">
      <c r="B16" s="19" t="inlineStr">
        <is>
          <t>Gross Margin %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B17" s="21" t="inlineStr"/>
      <c r="C17" s="22" t="n">
        <v>2021</v>
      </c>
      <c r="D17" s="22">
        <f>C17+1</f>
        <v/>
      </c>
      <c r="E17" s="22">
        <f>D17+1</f>
        <v/>
      </c>
      <c r="F17" s="22">
        <f>E17+1</f>
        <v/>
      </c>
      <c r="G17" s="22">
        <f>F17+1</f>
        <v/>
      </c>
      <c r="H17" s="23">
        <f>G17+1</f>
        <v/>
      </c>
      <c r="I17" s="23">
        <f>H17+1</f>
        <v/>
      </c>
      <c r="J17" s="23">
        <f>I17+1</f>
        <v/>
      </c>
      <c r="K17" s="23">
        <f>J17+1</f>
        <v/>
      </c>
      <c r="L17" s="23">
        <f>K17+1</f>
        <v/>
      </c>
      <c r="M17" s="23">
        <f>L17+1</f>
        <v/>
      </c>
      <c r="N17" s="23">
        <f>M17+1</f>
        <v/>
      </c>
      <c r="O17" s="23">
        <f>N17+1</f>
        <v/>
      </c>
    </row>
    <row r="18">
      <c r="B18" s="12" t="inlineStr">
        <is>
          <t>Selected (driven by switch)</t>
        </is>
      </c>
      <c r="H18" s="24">
        <f>CHOOSE($F$4,H20,H21,H22)</f>
        <v/>
      </c>
      <c r="I18" s="24">
        <f>CHOOSE($F$4,I20,I21,I22)</f>
        <v/>
      </c>
      <c r="J18" s="24">
        <f>CHOOSE($F$4,J20,J21,J22)</f>
        <v/>
      </c>
      <c r="K18" s="24">
        <f>CHOOSE($F$4,K20,K21,K22)</f>
        <v/>
      </c>
      <c r="L18" s="24">
        <f>CHOOSE($F$4,L20,L21,L22)</f>
        <v/>
      </c>
      <c r="M18" s="24">
        <f>CHOOSE($F$4,M20,M21,M22)</f>
        <v/>
      </c>
      <c r="N18" s="24">
        <f>CHOOSE($F$4,N20,N21,N22)</f>
        <v/>
      </c>
      <c r="O18" s="24">
        <f>CHOOSE($F$4,O20,O21,O22)</f>
        <v/>
      </c>
    </row>
    <row r="20">
      <c r="B20" s="7" t="inlineStr">
        <is>
          <t>Base</t>
        </is>
      </c>
      <c r="H20" s="25" t="n">
        <v>0.18</v>
      </c>
      <c r="I20" s="25" t="n">
        <v>0.2</v>
      </c>
      <c r="J20" s="25" t="n">
        <v>0.22</v>
      </c>
      <c r="K20" s="25" t="n">
        <v>0.24</v>
      </c>
      <c r="L20" s="25" t="n">
        <v>0.255</v>
      </c>
      <c r="M20" s="25" t="n">
        <v>0.265</v>
      </c>
      <c r="N20" s="25" t="n">
        <v>0.275</v>
      </c>
      <c r="O20" s="25" t="n">
        <v>0.28</v>
      </c>
    </row>
    <row r="21">
      <c r="B21" s="7" t="inlineStr">
        <is>
          <t>Bull</t>
        </is>
      </c>
      <c r="H21" s="25" t="n">
        <v>0.2</v>
      </c>
      <c r="I21" s="25" t="n">
        <v>0.225</v>
      </c>
      <c r="J21" s="25" t="n">
        <v>0.245</v>
      </c>
      <c r="K21" s="25" t="n">
        <v>0.265</v>
      </c>
      <c r="L21" s="25" t="n">
        <v>0.28</v>
      </c>
      <c r="M21" s="25" t="n">
        <v>0.29</v>
      </c>
      <c r="N21" s="25" t="n">
        <v>0.3</v>
      </c>
      <c r="O21" s="25" t="n">
        <v>0.305</v>
      </c>
    </row>
    <row r="22">
      <c r="B22" s="7" t="inlineStr">
        <is>
          <t>Bear</t>
        </is>
      </c>
      <c r="H22" s="25" t="n">
        <v>0.155</v>
      </c>
      <c r="I22" s="25" t="n">
        <v>0.165</v>
      </c>
      <c r="J22" s="25" t="n">
        <v>0.18</v>
      </c>
      <c r="K22" s="25" t="n">
        <v>0.19</v>
      </c>
      <c r="L22" s="25" t="n">
        <v>0.2</v>
      </c>
      <c r="M22" s="25" t="n">
        <v>0.21</v>
      </c>
      <c r="N22" s="25" t="n">
        <v>0.22</v>
      </c>
      <c r="O22" s="25" t="n">
        <v>0.225</v>
      </c>
    </row>
    <row r="26">
      <c r="B26" s="3" t="inlineStr">
        <is>
          <t>Note: Volume growth feeds the Revenue Build; Gross Margin feeds the P&amp;L COGS line. Switch one cell (F4) to flex the entire model across Base / Bull / Bear cases.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2:R5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2" customWidth="1" min="16" max="16"/>
    <col width="34" customWidth="1" min="17" max="17"/>
    <col width="62" customWidth="1" min="18" max="18"/>
  </cols>
  <sheetData>
    <row r="2">
      <c r="B2" s="15" t="inlineStr">
        <is>
          <t>Ather Energy Ltd — Assumptions &amp; Key Drivers</t>
        </is>
      </c>
    </row>
    <row r="3">
      <c r="B3" s="3" t="inlineStr">
        <is>
          <t>All monetary figures in INR millions unless stated. Forecast FY2026E–FY2033E.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  <c r="Q4" s="21" t="inlineStr">
        <is>
          <t>Source</t>
        </is>
      </c>
      <c r="R4" s="21" t="inlineStr">
        <is>
          <t>Reason / Simple explanation</t>
        </is>
      </c>
    </row>
    <row r="5">
      <c r="B5" s="19" t="inlineStr">
        <is>
          <t>A. Macroeconomic &amp; Industry Assumptions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B6" s="7" t="inlineStr">
        <is>
          <t>India real GDP growth %</t>
        </is>
      </c>
      <c r="H6" s="25" t="n">
        <v>0.065</v>
      </c>
      <c r="I6" s="25" t="n">
        <v>0.065</v>
      </c>
      <c r="J6" s="25" t="n">
        <v>0.067</v>
      </c>
      <c r="K6" s="25" t="n">
        <v>0.068</v>
      </c>
      <c r="L6" s="25" t="n">
        <v>0.068</v>
      </c>
      <c r="M6" s="25" t="n">
        <v>0.065</v>
      </c>
      <c r="N6" s="25" t="n">
        <v>0.065</v>
      </c>
      <c r="O6" s="25" t="n">
        <v>0.065</v>
      </c>
      <c r="Q6" s="26" t="inlineStr">
        <is>
          <t>IMF/RBI projections</t>
        </is>
      </c>
      <c r="R6" s="26" t="inlineStr">
        <is>
          <t>Stable ~6.5% growth supports consumer discretionary demand for two-wheelers.</t>
        </is>
      </c>
    </row>
    <row r="7">
      <c r="B7" s="7" t="inlineStr">
        <is>
          <t>CPI inflation %</t>
        </is>
      </c>
      <c r="H7" s="25" t="n">
        <v>0.045</v>
      </c>
      <c r="I7" s="25" t="n">
        <v>0.045</v>
      </c>
      <c r="J7" s="25" t="n">
        <v>0.045</v>
      </c>
      <c r="K7" s="25" t="n">
        <v>0.045</v>
      </c>
      <c r="L7" s="25" t="n">
        <v>0.045</v>
      </c>
      <c r="M7" s="25" t="n">
        <v>0.045</v>
      </c>
      <c r="N7" s="25" t="n">
        <v>0.045</v>
      </c>
      <c r="O7" s="25" t="n">
        <v>0.045</v>
      </c>
      <c r="Q7" s="26" t="inlineStr">
        <is>
          <t>RBI target band (4%±2%)</t>
        </is>
      </c>
      <c r="R7" s="26" t="inlineStr">
        <is>
          <t>Moderate inflation; input-cost pressure largely offset by battery cost decline.</t>
        </is>
      </c>
    </row>
    <row r="8">
      <c r="B8" s="7" t="inlineStr">
        <is>
          <t>RBI repo rate %</t>
        </is>
      </c>
      <c r="H8" s="25" t="n">
        <v>0.06</v>
      </c>
      <c r="I8" s="25" t="n">
        <v>0.0575</v>
      </c>
      <c r="J8" s="25" t="n">
        <v>0.0575</v>
      </c>
      <c r="K8" s="25" t="n">
        <v>0.0575</v>
      </c>
      <c r="L8" s="25" t="n">
        <v>0.06</v>
      </c>
      <c r="M8" s="25" t="n">
        <v>0.06</v>
      </c>
      <c r="N8" s="25" t="n">
        <v>0.06</v>
      </c>
      <c r="O8" s="25" t="n">
        <v>0.06</v>
      </c>
      <c r="Q8" s="26" t="inlineStr">
        <is>
          <t>RBI policy outlook</t>
        </is>
      </c>
      <c r="R8" s="26" t="inlineStr">
        <is>
          <t>Gradual easing then stable; lowers cost of borrowings &amp; leases.</t>
        </is>
      </c>
    </row>
    <row r="9">
      <c r="B9" s="7" t="inlineStr">
        <is>
          <t>India 2W industry (m units)</t>
        </is>
      </c>
      <c r="H9" s="27" t="n">
        <v>19.5</v>
      </c>
      <c r="I9" s="27" t="n">
        <v>20.8</v>
      </c>
      <c r="J9" s="27" t="n">
        <v>22</v>
      </c>
      <c r="K9" s="27" t="n">
        <v>23.3</v>
      </c>
      <c r="L9" s="27" t="n">
        <v>24.5</v>
      </c>
      <c r="M9" s="27" t="n">
        <v>25.7</v>
      </c>
      <c r="N9" s="27" t="n">
        <v>26.8</v>
      </c>
      <c r="O9" s="27" t="n">
        <v>27.9</v>
      </c>
      <c r="Q9" s="26" t="inlineStr">
        <is>
          <t>SIAM; ~8% CAGR</t>
        </is>
      </c>
      <c r="R9" s="26" t="inlineStr">
        <is>
          <t>Overall 2W market grows ~8%; base for E2W penetration math.</t>
        </is>
      </c>
    </row>
    <row r="10">
      <c r="B10" s="7" t="inlineStr">
        <is>
          <t>E2W penetration of 2W %</t>
        </is>
      </c>
      <c r="H10" s="25" t="n">
        <v>0.075</v>
      </c>
      <c r="I10" s="25" t="n">
        <v>0.095</v>
      </c>
      <c r="J10" s="25" t="n">
        <v>0.12</v>
      </c>
      <c r="K10" s="25" t="n">
        <v>0.15</v>
      </c>
      <c r="L10" s="25" t="n">
        <v>0.18</v>
      </c>
      <c r="M10" s="25" t="n">
        <v>0.22</v>
      </c>
      <c r="N10" s="25" t="n">
        <v>0.26</v>
      </c>
      <c r="O10" s="25" t="n">
        <v>0.3</v>
      </c>
      <c r="Q10" s="26" t="inlineStr">
        <is>
          <t>Kearney (30% by 2030); Ather (40% by FY31)</t>
        </is>
      </c>
      <c r="R10" s="26" t="inlineStr">
        <is>
          <t>Electric share of 2W rises sharply on cost parity, charging, policy.</t>
        </is>
      </c>
    </row>
    <row r="11">
      <c r="B11" s="7" t="inlineStr">
        <is>
          <t>E2W industry growth %</t>
        </is>
      </c>
      <c r="H11" s="25" t="n">
        <v>0.25</v>
      </c>
      <c r="I11" s="25" t="n">
        <v>0.28</v>
      </c>
      <c r="J11" s="25" t="n">
        <v>0.3</v>
      </c>
      <c r="K11" s="25" t="n">
        <v>0.32</v>
      </c>
      <c r="L11" s="25" t="n">
        <v>0.28</v>
      </c>
      <c r="M11" s="25" t="n">
        <v>0.26</v>
      </c>
      <c r="N11" s="25" t="n">
        <v>0.22</v>
      </c>
      <c r="O11" s="25" t="n">
        <v>0.18</v>
      </c>
      <c r="Q11" s="26" t="inlineStr">
        <is>
          <t>IMARC/Renub/TechSci (26-28% CAGR)</t>
        </is>
      </c>
      <c r="R11" s="26" t="inlineStr">
        <is>
          <t>Strong structural growth in electric two-wheelers.</t>
        </is>
      </c>
    </row>
    <row r="12">
      <c r="B12" s="7" t="inlineStr">
        <is>
          <t>Li-ion battery pack (USD/kWh)</t>
        </is>
      </c>
      <c r="H12" s="28" t="n">
        <v>105</v>
      </c>
      <c r="I12" s="28" t="n">
        <v>99</v>
      </c>
      <c r="J12" s="28" t="n">
        <v>95</v>
      </c>
      <c r="K12" s="28" t="n">
        <v>91</v>
      </c>
      <c r="L12" s="28" t="n">
        <v>88</v>
      </c>
      <c r="M12" s="28" t="n">
        <v>85</v>
      </c>
      <c r="N12" s="28" t="n">
        <v>83</v>
      </c>
      <c r="O12" s="28" t="n">
        <v>81</v>
      </c>
      <c r="Q12" s="26" t="inlineStr">
        <is>
          <t>BloombergNEF Dec-2025 ($108 in 2025)</t>
        </is>
      </c>
      <c r="R12" s="26" t="inlineStr">
        <is>
          <t>Falling cells/lithium prices cut Ather's largest input cost -&gt; margin tailwind.</t>
        </is>
      </c>
    </row>
    <row r="13">
      <c r="B13" s="7" t="inlineStr">
        <is>
          <t>Ather E2W market share %</t>
        </is>
      </c>
      <c r="H13" s="25" t="n">
        <v>0.16</v>
      </c>
      <c r="I13" s="25" t="n">
        <v>0.17</v>
      </c>
      <c r="J13" s="25" t="n">
        <v>0.18</v>
      </c>
      <c r="K13" s="25" t="n">
        <v>0.19</v>
      </c>
      <c r="L13" s="25" t="n">
        <v>0.2</v>
      </c>
      <c r="M13" s="25" t="n">
        <v>0.205</v>
      </c>
      <c r="N13" s="25" t="n">
        <v>0.21</v>
      </c>
      <c r="O13" s="25" t="n">
        <v>0.21</v>
      </c>
      <c r="Q13" s="26" t="inlineStr">
        <is>
          <t>Vahan; ETAuto (18.7% Mar-26)</t>
        </is>
      </c>
      <c r="R13" s="26" t="inlineStr">
        <is>
          <t>Share gains from capacity, products (Rizta), 700+ outlets; tapers as market matures.</t>
        </is>
      </c>
    </row>
    <row r="15">
      <c r="B15" s="19" t="inlineStr">
        <is>
          <t>B. Revenue Drivers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B16" s="7" t="inlineStr">
        <is>
          <t>Vehicle unit volume growth %</t>
        </is>
      </c>
      <c r="H16" s="29">
        <f>Scenarios!H9</f>
        <v/>
      </c>
      <c r="I16" s="29">
        <f>Scenarios!I9</f>
        <v/>
      </c>
      <c r="J16" s="29">
        <f>Scenarios!J9</f>
        <v/>
      </c>
      <c r="K16" s="29">
        <f>Scenarios!K9</f>
        <v/>
      </c>
      <c r="L16" s="29">
        <f>Scenarios!L9</f>
        <v/>
      </c>
      <c r="M16" s="29">
        <f>Scenarios!M9</f>
        <v/>
      </c>
      <c r="N16" s="29">
        <f>Scenarios!N9</f>
        <v/>
      </c>
      <c r="O16" s="29">
        <f>Scenarios!O9</f>
        <v/>
      </c>
      <c r="Q16" s="26" t="inlineStr">
        <is>
          <t>Scenarios sheet (driver)</t>
        </is>
      </c>
      <c r="R16" s="26" t="inlineStr">
        <is>
          <t>Driven by Base/Bull/Bear switch; reflects share gains + market growth, tapering over time.</t>
        </is>
      </c>
    </row>
    <row r="17">
      <c r="B17" s="7" t="inlineStr">
        <is>
          <t>Realisation / ASP growth %</t>
        </is>
      </c>
      <c r="H17" s="25" t="n">
        <v>-0.01</v>
      </c>
      <c r="I17" s="25" t="n">
        <v>0</v>
      </c>
      <c r="J17" s="25" t="n">
        <v>0.01</v>
      </c>
      <c r="K17" s="25" t="n">
        <v>0.01</v>
      </c>
      <c r="L17" s="25" t="n">
        <v>0.015</v>
      </c>
      <c r="M17" s="25" t="n">
        <v>0.02</v>
      </c>
      <c r="N17" s="25" t="n">
        <v>0.02</v>
      </c>
      <c r="O17" s="25" t="n">
        <v>0.02</v>
      </c>
      <c r="Q17" s="26" t="inlineStr">
        <is>
          <t>Ather ASP: FY23 155.6k, FY24 143.3k, FY25 ~127.6k</t>
        </is>
      </c>
      <c r="R17" s="26" t="inlineStr">
        <is>
          <t>Near-term dip from cheaper Rizta mix, then modest premiumisation/price recovery.</t>
        </is>
      </c>
    </row>
    <row r="18">
      <c r="B18" s="7" t="inlineStr">
        <is>
          <t>Accessories revenue % of vehicle rev</t>
        </is>
      </c>
      <c r="H18" s="25" t="n">
        <v>0.025</v>
      </c>
      <c r="I18" s="25" t="n">
        <v>0.025</v>
      </c>
      <c r="J18" s="25" t="n">
        <v>0.025</v>
      </c>
      <c r="K18" s="25" t="n">
        <v>0.025</v>
      </c>
      <c r="L18" s="25" t="n">
        <v>0.025</v>
      </c>
      <c r="M18" s="25" t="n">
        <v>0.025</v>
      </c>
      <c r="N18" s="25" t="n">
        <v>0.025</v>
      </c>
      <c r="O18" s="25" t="n">
        <v>0.025</v>
      </c>
      <c r="Q18" s="26" t="inlineStr">
        <is>
          <t>AR Note 20; mgmt commentary</t>
        </is>
      </c>
      <c r="R18" s="26" t="inlineStr">
        <is>
          <t>Helmets, chargers, spares attach steadily with deliveries.</t>
        </is>
      </c>
    </row>
    <row r="19">
      <c r="B19" s="7" t="inlineStr">
        <is>
          <t>Software &amp; connectivity % of vehicle rev</t>
        </is>
      </c>
      <c r="H19" s="25" t="n">
        <v>0.015</v>
      </c>
      <c r="I19" s="25" t="n">
        <v>0.018</v>
      </c>
      <c r="J19" s="25" t="n">
        <v>0.02</v>
      </c>
      <c r="K19" s="25" t="n">
        <v>0.022</v>
      </c>
      <c r="L19" s="25" t="n">
        <v>0.025</v>
      </c>
      <c r="M19" s="25" t="n">
        <v>0.027</v>
      </c>
      <c r="N19" s="25" t="n">
        <v>0.03</v>
      </c>
      <c r="O19" s="25" t="n">
        <v>0.03</v>
      </c>
      <c r="Q19" s="26" t="inlineStr">
        <is>
          <t>AtherStack/Pro-Pack adoption</t>
        </is>
      </c>
      <c r="R19" s="26" t="inlineStr">
        <is>
          <t>High-margin subscriptions rise with connected installed base.</t>
        </is>
      </c>
    </row>
    <row r="20">
      <c r="B20" s="7" t="inlineStr">
        <is>
          <t>Charging (Ather Grid) % of vehicle rev</t>
        </is>
      </c>
      <c r="H20" s="25" t="n">
        <v>0.005</v>
      </c>
      <c r="I20" s="25" t="n">
        <v>0.005</v>
      </c>
      <c r="J20" s="25" t="n">
        <v>0.005</v>
      </c>
      <c r="K20" s="25" t="n">
        <v>0.005</v>
      </c>
      <c r="L20" s="25" t="n">
        <v>0.005</v>
      </c>
      <c r="M20" s="25" t="n">
        <v>0.005</v>
      </c>
      <c r="N20" s="25" t="n">
        <v>0.005</v>
      </c>
      <c r="O20" s="25" t="n">
        <v>0.005</v>
      </c>
      <c r="Q20" s="26" t="inlineStr">
        <is>
          <t>Ather Grid network</t>
        </is>
      </c>
      <c r="R20" s="26" t="inlineStr">
        <is>
          <t>Small but growing recurring charging revenue.</t>
        </is>
      </c>
    </row>
    <row r="21">
      <c r="B21" s="7" t="inlineStr">
        <is>
          <t>Service &amp; after-sales growth %</t>
        </is>
      </c>
      <c r="H21" s="25" t="n">
        <v>0.3</v>
      </c>
      <c r="I21" s="25" t="n">
        <v>0.28</v>
      </c>
      <c r="J21" s="25" t="n">
        <v>0.26</v>
      </c>
      <c r="K21" s="25" t="n">
        <v>0.24</v>
      </c>
      <c r="L21" s="25" t="n">
        <v>0.22</v>
      </c>
      <c r="M21" s="25" t="n">
        <v>0.2</v>
      </c>
      <c r="N21" s="25" t="n">
        <v>0.18</v>
      </c>
      <c r="O21" s="25" t="n">
        <v>0.16</v>
      </c>
      <c r="Q21" s="26" t="inlineStr">
        <is>
          <t>AR Note 20 (service rev 1,451m FY25)</t>
        </is>
      </c>
      <c r="R21" s="26" t="inlineStr">
        <is>
          <t>Grows with cumulative fleet on road; tapers as base enlarges.</t>
        </is>
      </c>
    </row>
    <row r="22">
      <c r="B22" s="7" t="inlineStr">
        <is>
          <t>Other operating income (INR m)</t>
        </is>
      </c>
      <c r="H22" s="30" t="n">
        <v>50</v>
      </c>
      <c r="I22" s="30" t="n">
        <v>50</v>
      </c>
      <c r="J22" s="30" t="n">
        <v>50</v>
      </c>
      <c r="K22" s="30" t="n">
        <v>50</v>
      </c>
      <c r="L22" s="30" t="n">
        <v>50</v>
      </c>
      <c r="M22" s="30" t="n">
        <v>50</v>
      </c>
      <c r="N22" s="30" t="n">
        <v>50</v>
      </c>
      <c r="O22" s="30" t="n">
        <v>50</v>
      </c>
      <c r="Q22" s="26" t="inlineStr">
        <is>
          <t>Historical run-rate</t>
        </is>
      </c>
      <c r="R22" s="26" t="inlineStr">
        <is>
          <t>Scrap, incentives and sundry operating income held broadly flat.</t>
        </is>
      </c>
    </row>
    <row r="24">
      <c r="B24" s="19" t="inlineStr">
        <is>
          <t>C. Cost &amp; Margin Drivers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</row>
    <row r="25">
      <c r="B25" s="7" t="inlineStr">
        <is>
          <t>Gross margin %</t>
        </is>
      </c>
      <c r="H25" s="29">
        <f>Scenarios!H18</f>
        <v/>
      </c>
      <c r="I25" s="29">
        <f>Scenarios!I18</f>
        <v/>
      </c>
      <c r="J25" s="29">
        <f>Scenarios!J18</f>
        <v/>
      </c>
      <c r="K25" s="29">
        <f>Scenarios!K18</f>
        <v/>
      </c>
      <c r="L25" s="29">
        <f>Scenarios!L18</f>
        <v/>
      </c>
      <c r="M25" s="29">
        <f>Scenarios!M18</f>
        <v/>
      </c>
      <c r="N25" s="29">
        <f>Scenarios!N18</f>
        <v/>
      </c>
      <c r="O25" s="29">
        <f>Scenarios!O18</f>
        <v/>
      </c>
      <c r="Q25" s="26" t="inlineStr">
        <is>
          <t>Scenarios sheet (driver)</t>
        </is>
      </c>
      <c r="R25" s="26" t="inlineStr">
        <is>
          <t>Expands on battery-cost decline, scale, localisation/PLI and mix; Base 18%-&gt;28%.</t>
        </is>
      </c>
    </row>
    <row r="26">
      <c r="B26" s="7" t="inlineStr">
        <is>
          <t>Employee cost % of sales</t>
        </is>
      </c>
      <c r="H26" s="25" t="n">
        <v>0.15</v>
      </c>
      <c r="I26" s="25" t="n">
        <v>0.13</v>
      </c>
      <c r="J26" s="25" t="n">
        <v>0.115</v>
      </c>
      <c r="K26" s="25" t="n">
        <v>0.105</v>
      </c>
      <c r="L26" s="25" t="n">
        <v>0.1</v>
      </c>
      <c r="M26" s="25" t="n">
        <v>0.095</v>
      </c>
      <c r="N26" s="25" t="n">
        <v>0.09</v>
      </c>
      <c r="O26" s="25" t="n">
        <v>0.09</v>
      </c>
      <c r="Q26" s="26" t="inlineStr">
        <is>
          <t>FY25 18.3% of sales</t>
        </is>
      </c>
      <c r="R26" s="26" t="inlineStr">
        <is>
          <t>Operating leverage: headcount grows slower than revenue.</t>
        </is>
      </c>
    </row>
    <row r="27">
      <c r="B27" s="7" t="inlineStr">
        <is>
          <t>Other operating expenses % of sales</t>
        </is>
      </c>
      <c r="H27" s="25" t="n">
        <v>0.21</v>
      </c>
      <c r="I27" s="25" t="n">
        <v>0.185</v>
      </c>
      <c r="J27" s="25" t="n">
        <v>0.165</v>
      </c>
      <c r="K27" s="25" t="n">
        <v>0.15</v>
      </c>
      <c r="L27" s="25" t="n">
        <v>0.14</v>
      </c>
      <c r="M27" s="25" t="n">
        <v>0.135</v>
      </c>
      <c r="N27" s="25" t="n">
        <v>0.13</v>
      </c>
      <c r="O27" s="25" t="n">
        <v>0.13</v>
      </c>
      <c r="Q27" s="26" t="inlineStr">
        <is>
          <t>FY25 24.2% of sales (S&amp;M, R&amp;D-opex, admin, freight)</t>
        </is>
      </c>
      <c r="R27" s="26" t="inlineStr">
        <is>
          <t>Marketing/logistics/admin scale sub-linearly; brand now established.</t>
        </is>
      </c>
    </row>
    <row r="28">
      <c r="B28" s="7" t="inlineStr">
        <is>
          <t>Warranty provision % of sales (non-cash)</t>
        </is>
      </c>
      <c r="H28" s="25" t="n">
        <v>0.027</v>
      </c>
      <c r="I28" s="25" t="n">
        <v>0.027</v>
      </c>
      <c r="J28" s="25" t="n">
        <v>0.027</v>
      </c>
      <c r="K28" s="25" t="n">
        <v>0.027</v>
      </c>
      <c r="L28" s="25" t="n">
        <v>0.027</v>
      </c>
      <c r="M28" s="25" t="n">
        <v>0.027</v>
      </c>
      <c r="N28" s="25" t="n">
        <v>0.027</v>
      </c>
      <c r="O28" s="25" t="n">
        <v>0.027</v>
      </c>
      <c r="Q28" s="26" t="inlineStr">
        <is>
          <t>FY25 warranty 602m</t>
        </is>
      </c>
      <c r="R28" s="26" t="inlineStr">
        <is>
          <t>Non-cash provision added back in cash flow.</t>
        </is>
      </c>
    </row>
    <row r="29">
      <c r="B29" s="7" t="inlineStr">
        <is>
          <t>Share-based payments % of employee cost</t>
        </is>
      </c>
      <c r="H29" s="25" t="n">
        <v>0.18</v>
      </c>
      <c r="I29" s="25" t="n">
        <v>0.18</v>
      </c>
      <c r="J29" s="25" t="n">
        <v>0.18</v>
      </c>
      <c r="K29" s="25" t="n">
        <v>0.18</v>
      </c>
      <c r="L29" s="25" t="n">
        <v>0.18</v>
      </c>
      <c r="M29" s="25" t="n">
        <v>0.18</v>
      </c>
      <c r="N29" s="25" t="n">
        <v>0.18</v>
      </c>
      <c r="O29" s="25" t="n">
        <v>0.18</v>
      </c>
      <c r="Q29" s="26" t="inlineStr">
        <is>
          <t>FY25 SBP 831m vs emp 4,124m</t>
        </is>
      </c>
      <c r="R29" s="26" t="inlineStr">
        <is>
          <t>Non-cash ESOP charge added back in cash flow.</t>
        </is>
      </c>
    </row>
    <row r="31">
      <c r="B31" s="19" t="inlineStr">
        <is>
          <t>D. Capital Expenditure, Depreciation &amp; Amortisation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</row>
    <row r="32">
      <c r="B32" s="7" t="inlineStr">
        <is>
          <t>PPE capex % of revenue</t>
        </is>
      </c>
      <c r="H32" s="25" t="n">
        <v>0.09</v>
      </c>
      <c r="I32" s="25" t="n">
        <v>0.07000000000000001</v>
      </c>
      <c r="J32" s="25" t="n">
        <v>0.05</v>
      </c>
      <c r="K32" s="25" t="n">
        <v>0.045</v>
      </c>
      <c r="L32" s="25" t="n">
        <v>0.04</v>
      </c>
      <c r="M32" s="25" t="n">
        <v>0.038</v>
      </c>
      <c r="N32" s="25" t="n">
        <v>0.035</v>
      </c>
      <c r="O32" s="25" t="n">
        <v>0.035</v>
      </c>
      <c r="Q32" s="26" t="inlineStr">
        <is>
          <t>Factory-3 (Maharashtra) IPO use-of-proceeds</t>
        </is>
      </c>
      <c r="R32" s="26" t="inlineStr">
        <is>
          <t>Front-loaded capex for capacity tripling, then normalises to maintenance levels.</t>
        </is>
      </c>
    </row>
    <row r="33">
      <c r="B33" s="7" t="inlineStr">
        <is>
          <t>PPE useful life (years)</t>
        </is>
      </c>
      <c r="H33" s="31" t="n">
        <v>8</v>
      </c>
      <c r="I33" s="31" t="n">
        <v>8</v>
      </c>
      <c r="J33" s="31" t="n">
        <v>8</v>
      </c>
      <c r="K33" s="31" t="n">
        <v>8</v>
      </c>
      <c r="L33" s="31" t="n">
        <v>8</v>
      </c>
      <c r="M33" s="31" t="n">
        <v>8</v>
      </c>
      <c r="N33" s="31" t="n">
        <v>8</v>
      </c>
      <c r="O33" s="31" t="n">
        <v>8</v>
      </c>
      <c r="Q33" s="26" t="inlineStr">
        <is>
          <t>Auto plant &amp; equipment</t>
        </is>
      </c>
      <c r="R33" s="26" t="inlineStr">
        <is>
          <t>Straight-line depreciation base for PPE.</t>
        </is>
      </c>
    </row>
    <row r="34">
      <c r="B34" s="7" t="inlineStr">
        <is>
          <t>Intangible additions % of revenue</t>
        </is>
      </c>
      <c r="H34" s="25" t="n">
        <v>0.04</v>
      </c>
      <c r="I34" s="25" t="n">
        <v>0.038</v>
      </c>
      <c r="J34" s="25" t="n">
        <v>0.035</v>
      </c>
      <c r="K34" s="25" t="n">
        <v>0.032</v>
      </c>
      <c r="L34" s="25" t="n">
        <v>0.03</v>
      </c>
      <c r="M34" s="25" t="n">
        <v>0.028</v>
      </c>
      <c r="N34" s="25" t="n">
        <v>0.025</v>
      </c>
      <c r="O34" s="25" t="n">
        <v>0.025</v>
      </c>
      <c r="Q34" s="26" t="inlineStr">
        <is>
          <t>Capitalised product/software development</t>
        </is>
      </c>
      <c r="R34" s="26" t="inlineStr">
        <is>
          <t>R&amp;D capitalised for new platforms; eases as portfolio matures.</t>
        </is>
      </c>
    </row>
    <row r="35">
      <c r="B35" s="7" t="inlineStr">
        <is>
          <t>Intangible amortisation % of opening</t>
        </is>
      </c>
      <c r="H35" s="25" t="n">
        <v>0.18</v>
      </c>
      <c r="I35" s="25" t="n">
        <v>0.18</v>
      </c>
      <c r="J35" s="25" t="n">
        <v>0.18</v>
      </c>
      <c r="K35" s="25" t="n">
        <v>0.18</v>
      </c>
      <c r="L35" s="25" t="n">
        <v>0.18</v>
      </c>
      <c r="M35" s="25" t="n">
        <v>0.18</v>
      </c>
      <c r="N35" s="25" t="n">
        <v>0.18</v>
      </c>
      <c r="O35" s="25" t="n">
        <v>0.18</v>
      </c>
      <c r="Q35" s="26" t="inlineStr">
        <is>
          <t>~5-6 yr life</t>
        </is>
      </c>
      <c r="R35" s="26" t="inlineStr">
        <is>
          <t>Tech/software amortised over useful life.</t>
        </is>
      </c>
    </row>
    <row r="36">
      <c r="B36" s="7" t="inlineStr">
        <is>
          <t>ROU (lease) additions % of revenue</t>
        </is>
      </c>
      <c r="H36" s="25" t="n">
        <v>0.03</v>
      </c>
      <c r="I36" s="25" t="n">
        <v>0.028</v>
      </c>
      <c r="J36" s="25" t="n">
        <v>0.025</v>
      </c>
      <c r="K36" s="25" t="n">
        <v>0.022</v>
      </c>
      <c r="L36" s="25" t="n">
        <v>0.02</v>
      </c>
      <c r="M36" s="25" t="n">
        <v>0.018</v>
      </c>
      <c r="N36" s="25" t="n">
        <v>0.016</v>
      </c>
      <c r="O36" s="25" t="n">
        <v>0.015</v>
      </c>
      <c r="Q36" s="26" t="inlineStr">
        <is>
          <t>Retail (700+ outlets) &amp; warehouse leases</t>
        </is>
      </c>
      <c r="R36" s="26" t="inlineStr">
        <is>
          <t>New experience-centre/warehouse leases scale with network, then taper.</t>
        </is>
      </c>
    </row>
    <row r="37">
      <c r="B37" s="7" t="inlineStr">
        <is>
          <t>ROU amortisation %</t>
        </is>
      </c>
      <c r="H37" s="25" t="n">
        <v>0.22</v>
      </c>
      <c r="I37" s="25" t="n">
        <v>0.22</v>
      </c>
      <c r="J37" s="25" t="n">
        <v>0.22</v>
      </c>
      <c r="K37" s="25" t="n">
        <v>0.22</v>
      </c>
      <c r="L37" s="25" t="n">
        <v>0.22</v>
      </c>
      <c r="M37" s="25" t="n">
        <v>0.22</v>
      </c>
      <c r="N37" s="25" t="n">
        <v>0.22</v>
      </c>
      <c r="O37" s="25" t="n">
        <v>0.22</v>
      </c>
      <c r="Q37" s="26" t="inlineStr">
        <is>
          <t>Avg lease ~4-5 yrs</t>
        </is>
      </c>
      <c r="R37" s="26" t="inlineStr">
        <is>
          <t>Straight-line amortisation of right-of-use assets.</t>
        </is>
      </c>
    </row>
    <row r="39">
      <c r="B39" s="19" t="inlineStr">
        <is>
          <t>E. Financing &amp; Tax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>
      <c r="B40" s="7" t="inlineStr">
        <is>
          <t>Interest rate on borrowings %</t>
        </is>
      </c>
      <c r="H40" s="25" t="n">
        <v>0.1</v>
      </c>
      <c r="I40" s="25" t="n">
        <v>0.1</v>
      </c>
      <c r="J40" s="25" t="n">
        <v>0.1</v>
      </c>
      <c r="K40" s="25" t="n">
        <v>0.1</v>
      </c>
      <c r="L40" s="25" t="n">
        <v>0.1</v>
      </c>
      <c r="M40" s="25" t="n">
        <v>0.1</v>
      </c>
      <c r="N40" s="25" t="n">
        <v>0.1</v>
      </c>
      <c r="O40" s="25" t="n">
        <v>0.1</v>
      </c>
      <c r="Q40" s="26" t="inlineStr">
        <is>
          <t>FY25 finance cost / debt</t>
        </is>
      </c>
      <c r="R40" s="26" t="inlineStr">
        <is>
          <t>Blended rate on working-capital + term debt.</t>
        </is>
      </c>
    </row>
    <row r="41">
      <c r="B41" s="7" t="inlineStr">
        <is>
          <t>Net borrowing draw/(repay) (INR m)</t>
        </is>
      </c>
      <c r="H41" s="30" t="n">
        <v>1500</v>
      </c>
      <c r="I41" s="30" t="n">
        <v>500</v>
      </c>
      <c r="J41" s="30" t="n">
        <v>1500</v>
      </c>
      <c r="K41" s="30" t="n">
        <v>2000</v>
      </c>
      <c r="L41" s="30" t="n">
        <v>1500</v>
      </c>
      <c r="M41" s="30" t="n">
        <v>500</v>
      </c>
      <c r="N41" s="30" t="n">
        <v>-1000</v>
      </c>
      <c r="O41" s="30" t="n">
        <v>-1500</v>
      </c>
      <c r="Q41" s="26" t="inlineStr">
        <is>
          <t>Mgmt: working-capital + term debt for capacity build</t>
        </is>
      </c>
      <c r="R41" s="26" t="inlineStr">
        <is>
          <t>Modest debt draws fund the capex/loss trough (FY26-FY30), repaid once free cash flow turns positive (FY32-FY33).</t>
        </is>
      </c>
    </row>
    <row r="42">
      <c r="B42" s="7" t="inlineStr">
        <is>
          <t>Lease interest rate %</t>
        </is>
      </c>
      <c r="H42" s="25" t="n">
        <v>0.09</v>
      </c>
      <c r="I42" s="25" t="n">
        <v>0.09</v>
      </c>
      <c r="J42" s="25" t="n">
        <v>0.09</v>
      </c>
      <c r="K42" s="25" t="n">
        <v>0.09</v>
      </c>
      <c r="L42" s="25" t="n">
        <v>0.09</v>
      </c>
      <c r="M42" s="25" t="n">
        <v>0.09</v>
      </c>
      <c r="N42" s="25" t="n">
        <v>0.09</v>
      </c>
      <c r="O42" s="25" t="n">
        <v>0.09</v>
      </c>
      <c r="Q42" s="26" t="inlineStr">
        <is>
          <t>Ind AS 116 incremental borrowing rate</t>
        </is>
      </c>
      <c r="R42" s="26" t="inlineStr">
        <is>
          <t>Interest unwound on lease liabilities.</t>
        </is>
      </c>
    </row>
    <row r="43">
      <c r="B43" s="7" t="inlineStr">
        <is>
          <t>Lease principal repayment growth %</t>
        </is>
      </c>
      <c r="H43" s="25" t="n">
        <v>0.1</v>
      </c>
      <c r="I43" s="25" t="n">
        <v>0.1</v>
      </c>
      <c r="J43" s="25" t="n">
        <v>0.1</v>
      </c>
      <c r="K43" s="25" t="n">
        <v>0.1</v>
      </c>
      <c r="L43" s="25" t="n">
        <v>0.1</v>
      </c>
      <c r="M43" s="25" t="n">
        <v>0.1</v>
      </c>
      <c r="N43" s="25" t="n">
        <v>0.1</v>
      </c>
      <c r="O43" s="25" t="n">
        <v>0.1</v>
      </c>
      <c r="Q43" s="26" t="inlineStr">
        <is>
          <t>Historical lease repayment trend</t>
        </is>
      </c>
      <c r="R43" s="26" t="inlineStr">
        <is>
          <t>Lease principal outflow grows with expanding lease base.</t>
        </is>
      </c>
    </row>
    <row r="44">
      <c r="B44" s="7" t="inlineStr">
        <is>
          <t>Interest income rate on cash &amp; inv %</t>
        </is>
      </c>
      <c r="H44" s="25" t="n">
        <v>0.06</v>
      </c>
      <c r="I44" s="25" t="n">
        <v>0.06</v>
      </c>
      <c r="J44" s="25" t="n">
        <v>0.06</v>
      </c>
      <c r="K44" s="25" t="n">
        <v>0.06</v>
      </c>
      <c r="L44" s="25" t="n">
        <v>0.06</v>
      </c>
      <c r="M44" s="25" t="n">
        <v>0.06</v>
      </c>
      <c r="N44" s="25" t="n">
        <v>0.06</v>
      </c>
      <c r="O44" s="25" t="n">
        <v>0.06</v>
      </c>
      <c r="Q44" s="26" t="inlineStr">
        <is>
          <t>Yield on deposits/MFs</t>
        </is>
      </c>
      <c r="R44" s="26" t="inlineStr">
        <is>
          <t>Earned on opening cash, term deposits and liquid investments.</t>
        </is>
      </c>
    </row>
    <row r="45">
      <c r="B45" s="7" t="inlineStr">
        <is>
          <t>Equity issuance / IPO (INR m)</t>
        </is>
      </c>
      <c r="H45" s="30" t="n">
        <v>26000</v>
      </c>
      <c r="I45" s="30" t="n">
        <v>0</v>
      </c>
      <c r="J45" s="30" t="n">
        <v>0</v>
      </c>
      <c r="K45" s="30" t="n">
        <v>0</v>
      </c>
      <c r="L45" s="30" t="n">
        <v>0</v>
      </c>
      <c r="M45" s="30" t="n">
        <v>0</v>
      </c>
      <c r="N45" s="30" t="n">
        <v>0</v>
      </c>
      <c r="O45" s="30" t="n">
        <v>0</v>
      </c>
      <c r="Q45" s="26" t="inlineStr">
        <is>
          <t>IPO May-2025 fresh issue ~INR 2,626 cr</t>
        </is>
      </c>
      <c r="R45" s="26" t="inlineStr">
        <is>
          <t>One-off FY26 primary equity raise (Factory-3, R&amp;D, debt, marketing).</t>
        </is>
      </c>
    </row>
    <row r="46">
      <c r="B46" s="7" t="inlineStr">
        <is>
          <t>Dividend payout %</t>
        </is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N46" s="25" t="n">
        <v>0</v>
      </c>
      <c r="O46" s="25" t="n">
        <v>0</v>
      </c>
      <c r="Q46" s="26" t="inlineStr">
        <is>
          <t>Loss-making; reinvestment phase</t>
        </is>
      </c>
      <c r="R46" s="26" t="inlineStr">
        <is>
          <t>No dividends expected over the forecast horizon.</t>
        </is>
      </c>
    </row>
    <row r="47">
      <c r="B47" s="7" t="inlineStr">
        <is>
          <t>Effective tax rate %</t>
        </is>
      </c>
      <c r="H47" s="25" t="n">
        <v>0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  <c r="N47" s="25" t="n">
        <v>0</v>
      </c>
      <c r="O47" s="25" t="n">
        <v>0</v>
      </c>
      <c r="Q47" s="26" t="inlineStr">
        <is>
          <t>Accumulated losses &gt; INR 40,000m</t>
        </is>
      </c>
      <c r="R47" s="26" t="inlineStr">
        <is>
          <t>Carry-forward losses shield taxable profits for the whole forecast; statutory 25.17% (noted).</t>
        </is>
      </c>
    </row>
    <row r="49">
      <c r="B49" s="19" t="inlineStr">
        <is>
          <t>F. Working Capital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</row>
    <row r="50">
      <c r="B50" s="7" t="inlineStr">
        <is>
          <t>Receivable days</t>
        </is>
      </c>
      <c r="H50" s="31" t="n">
        <v>4</v>
      </c>
      <c r="I50" s="31" t="n">
        <v>4</v>
      </c>
      <c r="J50" s="31" t="n">
        <v>4</v>
      </c>
      <c r="K50" s="31" t="n">
        <v>4</v>
      </c>
      <c r="L50" s="31" t="n">
        <v>4</v>
      </c>
      <c r="M50" s="31" t="n">
        <v>4</v>
      </c>
      <c r="N50" s="31" t="n">
        <v>4</v>
      </c>
      <c r="O50" s="31" t="n">
        <v>4</v>
      </c>
      <c r="Q50" s="26" t="inlineStr">
        <is>
          <t>FY25 AR 118m on rev 22,550m (~2 days)</t>
        </is>
      </c>
      <c r="R50" s="26" t="inlineStr">
        <is>
          <t>Mostly cash/dealer-financed sales -&gt; minimal receivables.</t>
        </is>
      </c>
    </row>
    <row r="51">
      <c r="B51" s="7" t="inlineStr">
        <is>
          <t>Inventory days (on COGS)</t>
        </is>
      </c>
      <c r="H51" s="31" t="n">
        <v>48</v>
      </c>
      <c r="I51" s="31" t="n">
        <v>46</v>
      </c>
      <c r="J51" s="31" t="n">
        <v>44</v>
      </c>
      <c r="K51" s="31" t="n">
        <v>42</v>
      </c>
      <c r="L51" s="31" t="n">
        <v>40</v>
      </c>
      <c r="M51" s="31" t="n">
        <v>40</v>
      </c>
      <c r="N51" s="31" t="n">
        <v>40</v>
      </c>
      <c r="O51" s="31" t="n">
        <v>40</v>
      </c>
      <c r="Q51" s="26" t="inlineStr">
        <is>
          <t>FY25 ~48 days</t>
        </is>
      </c>
      <c r="R51" s="26" t="inlineStr">
        <is>
          <t>Improves with better S&amp;OP and faster throughput at scale.</t>
        </is>
      </c>
    </row>
    <row r="52">
      <c r="B52" s="7" t="inlineStr">
        <is>
          <t>Payable days (on COGS)</t>
        </is>
      </c>
      <c r="H52" s="31" t="n">
        <v>100</v>
      </c>
      <c r="I52" s="31" t="n">
        <v>98</v>
      </c>
      <c r="J52" s="31" t="n">
        <v>95</v>
      </c>
      <c r="K52" s="31" t="n">
        <v>92</v>
      </c>
      <c r="L52" s="31" t="n">
        <v>90</v>
      </c>
      <c r="M52" s="31" t="n">
        <v>88</v>
      </c>
      <c r="N52" s="31" t="n">
        <v>85</v>
      </c>
      <c r="O52" s="31" t="n">
        <v>85</v>
      </c>
      <c r="Q52" s="26" t="inlineStr">
        <is>
          <t>FY25 ~109 days</t>
        </is>
      </c>
      <c r="R52" s="26" t="inlineStr">
        <is>
          <t>High supplier credit normalises modestly as scale/terms mature.</t>
        </is>
      </c>
    </row>
    <row r="53">
      <c r="B53" s="7" t="inlineStr">
        <is>
          <t>Other current assets % of sales</t>
        </is>
      </c>
      <c r="H53" s="25" t="n">
        <v>0.14</v>
      </c>
      <c r="I53" s="25" t="n">
        <v>0.14</v>
      </c>
      <c r="J53" s="25" t="n">
        <v>0.14</v>
      </c>
      <c r="K53" s="25" t="n">
        <v>0.14</v>
      </c>
      <c r="L53" s="25" t="n">
        <v>0.14</v>
      </c>
      <c r="M53" s="25" t="n">
        <v>0.14</v>
      </c>
      <c r="N53" s="25" t="n">
        <v>0.14</v>
      </c>
      <c r="O53" s="25" t="n">
        <v>0.14</v>
      </c>
      <c r="Q53" s="26" t="inlineStr">
        <is>
          <t>FY25 15.5%</t>
        </is>
      </c>
      <c r="R53" s="26" t="inlineStr">
        <is>
          <t>GST/balances/advances scale with revenue.</t>
        </is>
      </c>
    </row>
    <row r="54">
      <c r="B54" s="7" t="inlineStr">
        <is>
          <t>Other current liabilities % of sales</t>
        </is>
      </c>
      <c r="H54" s="25" t="n">
        <v>0.04</v>
      </c>
      <c r="I54" s="25" t="n">
        <v>0.04</v>
      </c>
      <c r="J54" s="25" t="n">
        <v>0.04</v>
      </c>
      <c r="K54" s="25" t="n">
        <v>0.04</v>
      </c>
      <c r="L54" s="25" t="n">
        <v>0.04</v>
      </c>
      <c r="M54" s="25" t="n">
        <v>0.04</v>
      </c>
      <c r="N54" s="25" t="n">
        <v>0.04</v>
      </c>
      <c r="O54" s="25" t="n">
        <v>0.04</v>
      </c>
      <c r="Q54" s="26" t="inlineStr">
        <is>
          <t>FY25 3.9%</t>
        </is>
      </c>
      <c r="R54" s="26" t="inlineStr">
        <is>
          <t>Customer advances/deferred revenue scale with revenue.</t>
        </is>
      </c>
    </row>
    <row r="55">
      <c r="B55" s="7" t="inlineStr">
        <is>
          <t>Current provisions % of sales</t>
        </is>
      </c>
      <c r="H55" s="25" t="n">
        <v>0.05</v>
      </c>
      <c r="I55" s="25" t="n">
        <v>0.05</v>
      </c>
      <c r="J55" s="25" t="n">
        <v>0.05</v>
      </c>
      <c r="K55" s="25" t="n">
        <v>0.05</v>
      </c>
      <c r="L55" s="25" t="n">
        <v>0.05</v>
      </c>
      <c r="M55" s="25" t="n">
        <v>0.05</v>
      </c>
      <c r="N55" s="25" t="n">
        <v>0.05</v>
      </c>
      <c r="O55" s="25" t="n">
        <v>0.05</v>
      </c>
      <c r="Q55" s="26" t="inlineStr">
        <is>
          <t>FY25 5.3% (incl warranty)</t>
        </is>
      </c>
      <c r="R55" s="26" t="inlineStr">
        <is>
          <t>Warranty &amp; employee provisions scale with revenue.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2:O18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Revenue Build (driver-based)</t>
        </is>
      </c>
    </row>
    <row r="3">
      <c r="B3" s="3" t="inlineStr">
        <is>
          <t>Units in numbers; ASP in INR/vehicle; all revenue in INR millions.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6">
      <c r="B6" s="7" t="inlineStr">
        <is>
          <t>Vehicle volumes (units)</t>
        </is>
      </c>
      <c r="C6" s="28" t="n">
        <v>7100</v>
      </c>
      <c r="D6" s="28" t="n">
        <v>26000</v>
      </c>
      <c r="E6" s="28" t="n">
        <v>106000</v>
      </c>
      <c r="F6" s="28" t="n">
        <v>113900</v>
      </c>
      <c r="G6" s="28" t="n">
        <v>165000</v>
      </c>
      <c r="H6" s="32">
        <f>G6*(1+Assumptions!H16)</f>
        <v/>
      </c>
      <c r="I6" s="32">
        <f>H6*(1+Assumptions!I16)</f>
        <v/>
      </c>
      <c r="J6" s="32">
        <f>I6*(1+Assumptions!J16)</f>
        <v/>
      </c>
      <c r="K6" s="32">
        <f>J6*(1+Assumptions!K16)</f>
        <v/>
      </c>
      <c r="L6" s="32">
        <f>K6*(1+Assumptions!L16)</f>
        <v/>
      </c>
      <c r="M6" s="32">
        <f>L6*(1+Assumptions!M16)</f>
        <v/>
      </c>
      <c r="N6" s="32">
        <f>M6*(1+Assumptions!N16)</f>
        <v/>
      </c>
      <c r="O6" s="32">
        <f>N6*(1+Assumptions!O16)</f>
        <v/>
      </c>
    </row>
    <row r="7">
      <c r="B7" s="7" t="inlineStr">
        <is>
          <t>Average Selling Price (INR / vehicle)</t>
        </is>
      </c>
      <c r="C7" s="28" t="n">
        <v>98592</v>
      </c>
      <c r="D7" s="28" t="n">
        <v>138462</v>
      </c>
      <c r="E7" s="28" t="n">
        <v>154717</v>
      </c>
      <c r="F7" s="28" t="n">
        <v>143292</v>
      </c>
      <c r="G7" s="28" t="n">
        <v>127606</v>
      </c>
      <c r="H7" s="32">
        <f>G7*(1+Assumptions!H17)</f>
        <v/>
      </c>
      <c r="I7" s="32">
        <f>H7*(1+Assumptions!I17)</f>
        <v/>
      </c>
      <c r="J7" s="32">
        <f>I7*(1+Assumptions!J17)</f>
        <v/>
      </c>
      <c r="K7" s="32">
        <f>J7*(1+Assumptions!K17)</f>
        <v/>
      </c>
      <c r="L7" s="32">
        <f>K7*(1+Assumptions!L17)</f>
        <v/>
      </c>
      <c r="M7" s="32">
        <f>L7*(1+Assumptions!M17)</f>
        <v/>
      </c>
      <c r="N7" s="32">
        <f>M7*(1+Assumptions!N17)</f>
        <v/>
      </c>
      <c r="O7" s="32">
        <f>N7*(1+Assumptions!O17)</f>
        <v/>
      </c>
    </row>
    <row r="8">
      <c r="B8" s="12" t="inlineStr">
        <is>
          <t>Vehicle revenue</t>
        </is>
      </c>
      <c r="C8" s="33">
        <f>C6*C7/1000000</f>
        <v/>
      </c>
      <c r="D8" s="33">
        <f>D6*D7/1000000</f>
        <v/>
      </c>
      <c r="E8" s="33">
        <f>E6*E7/1000000</f>
        <v/>
      </c>
      <c r="F8" s="33">
        <f>F6*F7/1000000</f>
        <v/>
      </c>
      <c r="G8" s="33">
        <f>G6*G7/1000000</f>
        <v/>
      </c>
      <c r="H8" s="33">
        <f>H6*H7/1000000</f>
        <v/>
      </c>
      <c r="I8" s="33">
        <f>I6*I7/1000000</f>
        <v/>
      </c>
      <c r="J8" s="33">
        <f>J6*J7/1000000</f>
        <v/>
      </c>
      <c r="K8" s="33">
        <f>K6*K7/1000000</f>
        <v/>
      </c>
      <c r="L8" s="33">
        <f>L6*L7/1000000</f>
        <v/>
      </c>
      <c r="M8" s="33">
        <f>M6*M7/1000000</f>
        <v/>
      </c>
      <c r="N8" s="33">
        <f>N6*N7/1000000</f>
        <v/>
      </c>
      <c r="O8" s="33">
        <f>O6*O7/1000000</f>
        <v/>
      </c>
    </row>
    <row r="9">
      <c r="B9" s="7" t="inlineStr">
        <is>
          <t>Accessories &amp; spares revenue</t>
        </is>
      </c>
      <c r="C9" s="30" t="n">
        <v>18</v>
      </c>
      <c r="D9" s="30" t="n">
        <v>90</v>
      </c>
      <c r="E9" s="30" t="n">
        <v>250</v>
      </c>
      <c r="F9" s="30" t="n">
        <v>0</v>
      </c>
      <c r="G9" s="30" t="n">
        <v>0</v>
      </c>
      <c r="H9" s="34">
        <f>H8*Assumptions!H18</f>
        <v/>
      </c>
      <c r="I9" s="34">
        <f>I8*Assumptions!I18</f>
        <v/>
      </c>
      <c r="J9" s="34">
        <f>J8*Assumptions!J18</f>
        <v/>
      </c>
      <c r="K9" s="34">
        <f>K8*Assumptions!K18</f>
        <v/>
      </c>
      <c r="L9" s="34">
        <f>L8*Assumptions!L18</f>
        <v/>
      </c>
      <c r="M9" s="34">
        <f>M8*Assumptions!M18</f>
        <v/>
      </c>
      <c r="N9" s="34">
        <f>N8*Assumptions!N18</f>
        <v/>
      </c>
      <c r="O9" s="34">
        <f>O8*Assumptions!O18</f>
        <v/>
      </c>
    </row>
    <row r="10">
      <c r="B10" s="7" t="inlineStr">
        <is>
          <t>Software &amp; connectivity revenue</t>
        </is>
      </c>
      <c r="C10" s="30" t="n">
        <v>5</v>
      </c>
      <c r="D10" s="30" t="n">
        <v>20</v>
      </c>
      <c r="E10" s="30" t="n">
        <v>80</v>
      </c>
      <c r="F10" s="30" t="n">
        <v>0</v>
      </c>
      <c r="G10" s="30" t="n">
        <v>0</v>
      </c>
      <c r="H10" s="34">
        <f>H8*Assumptions!H19</f>
        <v/>
      </c>
      <c r="I10" s="34">
        <f>I8*Assumptions!I19</f>
        <v/>
      </c>
      <c r="J10" s="34">
        <f>J8*Assumptions!J19</f>
        <v/>
      </c>
      <c r="K10" s="34">
        <f>K8*Assumptions!K19</f>
        <v/>
      </c>
      <c r="L10" s="34">
        <f>L8*Assumptions!L19</f>
        <v/>
      </c>
      <c r="M10" s="34">
        <f>M8*Assumptions!M19</f>
        <v/>
      </c>
      <c r="N10" s="34">
        <f>N8*Assumptions!N19</f>
        <v/>
      </c>
      <c r="O10" s="34">
        <f>O8*Assumptions!O19</f>
        <v/>
      </c>
    </row>
    <row r="11">
      <c r="B11" s="7" t="inlineStr">
        <is>
          <t>Charging (Ather Grid) revenue</t>
        </is>
      </c>
      <c r="C11" s="30" t="n">
        <v>0</v>
      </c>
      <c r="D11" s="30" t="n">
        <v>5</v>
      </c>
      <c r="E11" s="30" t="n">
        <v>20</v>
      </c>
      <c r="F11" s="30" t="n">
        <v>0</v>
      </c>
      <c r="G11" s="30" t="n">
        <v>0</v>
      </c>
      <c r="H11" s="34">
        <f>H8*Assumptions!H20</f>
        <v/>
      </c>
      <c r="I11" s="34">
        <f>I8*Assumptions!I20</f>
        <v/>
      </c>
      <c r="J11" s="34">
        <f>J8*Assumptions!J20</f>
        <v/>
      </c>
      <c r="K11" s="34">
        <f>K8*Assumptions!K20</f>
        <v/>
      </c>
      <c r="L11" s="34">
        <f>L8*Assumptions!L20</f>
        <v/>
      </c>
      <c r="M11" s="34">
        <f>M8*Assumptions!M20</f>
        <v/>
      </c>
      <c r="N11" s="34">
        <f>N8*Assumptions!N20</f>
        <v/>
      </c>
      <c r="O11" s="34">
        <f>O8*Assumptions!O20</f>
        <v/>
      </c>
    </row>
    <row r="12">
      <c r="B12" s="7" t="inlineStr">
        <is>
          <t>Service &amp; after-sales revenue</t>
        </is>
      </c>
      <c r="C12" s="30" t="n">
        <v>55</v>
      </c>
      <c r="D12" s="30" t="n">
        <v>320</v>
      </c>
      <c r="E12" s="30" t="n">
        <v>1000</v>
      </c>
      <c r="F12" s="30" t="n">
        <v>1190</v>
      </c>
      <c r="G12" s="30" t="n">
        <v>1451</v>
      </c>
      <c r="H12" s="34">
        <f>G12*(1+Assumptions!H21)</f>
        <v/>
      </c>
      <c r="I12" s="34">
        <f>H12*(1+Assumptions!I21)</f>
        <v/>
      </c>
      <c r="J12" s="34">
        <f>I12*(1+Assumptions!J21)</f>
        <v/>
      </c>
      <c r="K12" s="34">
        <f>J12*(1+Assumptions!K21)</f>
        <v/>
      </c>
      <c r="L12" s="34">
        <f>K12*(1+Assumptions!L21)</f>
        <v/>
      </c>
      <c r="M12" s="34">
        <f>L12*(1+Assumptions!M21)</f>
        <v/>
      </c>
      <c r="N12" s="34">
        <f>M12*(1+Assumptions!N21)</f>
        <v/>
      </c>
      <c r="O12" s="34">
        <f>N12*(1+Assumptions!O21)</f>
        <v/>
      </c>
    </row>
    <row r="13">
      <c r="B13" s="7" t="inlineStr">
        <is>
          <t>Other operating income</t>
        </is>
      </c>
      <c r="C13" s="30" t="n">
        <v>20</v>
      </c>
      <c r="D13" s="30" t="n">
        <v>50</v>
      </c>
      <c r="E13" s="30" t="n">
        <v>86</v>
      </c>
      <c r="F13" s="30" t="n">
        <v>27</v>
      </c>
      <c r="G13" s="30" t="n">
        <v>44</v>
      </c>
      <c r="H13" s="34">
        <f>Assumptions!H22</f>
        <v/>
      </c>
      <c r="I13" s="34">
        <f>Assumptions!I22</f>
        <v/>
      </c>
      <c r="J13" s="34">
        <f>Assumptions!J22</f>
        <v/>
      </c>
      <c r="K13" s="34">
        <f>Assumptions!K22</f>
        <v/>
      </c>
      <c r="L13" s="34">
        <f>Assumptions!L22</f>
        <v/>
      </c>
      <c r="M13" s="34">
        <f>Assumptions!M22</f>
        <v/>
      </c>
      <c r="N13" s="34">
        <f>Assumptions!N22</f>
        <v/>
      </c>
      <c r="O13" s="34">
        <f>Assumptions!O22</f>
        <v/>
      </c>
    </row>
    <row r="14">
      <c r="B14" s="35" t="inlineStr">
        <is>
          <t>Total revenue from operations</t>
        </is>
      </c>
      <c r="C14" s="36">
        <f>SUM(C8:C13)</f>
        <v/>
      </c>
      <c r="D14" s="36">
        <f>SUM(D8:D13)</f>
        <v/>
      </c>
      <c r="E14" s="36">
        <f>SUM(E8:E13)</f>
        <v/>
      </c>
      <c r="F14" s="36">
        <f>SUM(F8:F13)</f>
        <v/>
      </c>
      <c r="G14" s="36">
        <f>SUM(G8:G13)</f>
        <v/>
      </c>
      <c r="H14" s="36">
        <f>SUM(H8:H13)</f>
        <v/>
      </c>
      <c r="I14" s="36">
        <f>SUM(I8:I13)</f>
        <v/>
      </c>
      <c r="J14" s="36">
        <f>SUM(J8:J13)</f>
        <v/>
      </c>
      <c r="K14" s="36">
        <f>SUM(K8:K13)</f>
        <v/>
      </c>
      <c r="L14" s="36">
        <f>SUM(L8:L13)</f>
        <v/>
      </c>
      <c r="M14" s="36">
        <f>SUM(M8:M13)</f>
        <v/>
      </c>
      <c r="N14" s="36">
        <f>SUM(N8:N13)</f>
        <v/>
      </c>
      <c r="O14" s="36">
        <f>SUM(O8:O13)</f>
        <v/>
      </c>
    </row>
    <row r="16">
      <c r="B16" s="3" t="inlineStr">
        <is>
          <t>Memo:</t>
        </is>
      </c>
    </row>
    <row r="17">
      <c r="B17" s="7" t="inlineStr">
        <is>
          <t>Total revenue growth %</t>
        </is>
      </c>
      <c r="C17" s="37" t="inlineStr"/>
      <c r="D17" s="37">
        <f>D14/C14-1</f>
        <v/>
      </c>
      <c r="E17" s="37">
        <f>E14/D14-1</f>
        <v/>
      </c>
      <c r="F17" s="37">
        <f>F14/E14-1</f>
        <v/>
      </c>
      <c r="G17" s="37">
        <f>G14/F14-1</f>
        <v/>
      </c>
      <c r="H17" s="37">
        <f>H14/G14-1</f>
        <v/>
      </c>
      <c r="I17" s="37">
        <f>I14/H14-1</f>
        <v/>
      </c>
      <c r="J17" s="37">
        <f>J14/I14-1</f>
        <v/>
      </c>
      <c r="K17" s="37">
        <f>K14/J14-1</f>
        <v/>
      </c>
      <c r="L17" s="37">
        <f>L14/K14-1</f>
        <v/>
      </c>
      <c r="M17" s="37">
        <f>M14/L14-1</f>
        <v/>
      </c>
      <c r="N17" s="37">
        <f>N14/M14-1</f>
        <v/>
      </c>
      <c r="O17" s="37">
        <f>O14/N14-1</f>
        <v/>
      </c>
    </row>
    <row r="18">
      <c r="B18" s="7" t="inlineStr">
        <is>
          <t>Non-vehicle revenue % of total</t>
        </is>
      </c>
      <c r="C18" s="37">
        <f>(C14-C8)/C14</f>
        <v/>
      </c>
      <c r="D18" s="37">
        <f>(D14-D8)/D14</f>
        <v/>
      </c>
      <c r="E18" s="37">
        <f>(E14-E8)/E14</f>
        <v/>
      </c>
      <c r="F18" s="37">
        <f>(F14-F8)/F14</f>
        <v/>
      </c>
      <c r="G18" s="37">
        <f>(G14-G8)/G14</f>
        <v/>
      </c>
      <c r="H18" s="37">
        <f>(H14-H8)/H14</f>
        <v/>
      </c>
      <c r="I18" s="37">
        <f>(I14-I8)/I14</f>
        <v/>
      </c>
      <c r="J18" s="37">
        <f>(J14-J8)/J14</f>
        <v/>
      </c>
      <c r="K18" s="37">
        <f>(K14-K8)/K14</f>
        <v/>
      </c>
      <c r="L18" s="37">
        <f>(L14-L8)/L14</f>
        <v/>
      </c>
      <c r="M18" s="37">
        <f>(M14-M8)/M14</f>
        <v/>
      </c>
      <c r="N18" s="37">
        <f>(N14-N8)/N14</f>
        <v/>
      </c>
      <c r="O18" s="37">
        <f>(O14-O8)/O14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B2:R2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Income Statement (INR millions)</t>
        </is>
      </c>
      <c r="R2" s="5">
        <f>CONCATENATE("Scenario: ",Scenarios!F5)</f>
        <v/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5">
      <c r="B5" s="12" t="inlineStr">
        <is>
          <t>Revenue from operations</t>
        </is>
      </c>
      <c r="C5" s="38" t="n">
        <v>798</v>
      </c>
      <c r="D5" s="38" t="n">
        <v>4085</v>
      </c>
      <c r="E5" s="38" t="n">
        <v>17836</v>
      </c>
      <c r="F5" s="38" t="n">
        <v>17538</v>
      </c>
      <c r="G5" s="38" t="n">
        <v>22550</v>
      </c>
      <c r="H5" s="8">
        <f>'Revenue Build'!H14</f>
        <v/>
      </c>
      <c r="I5" s="8">
        <f>'Revenue Build'!I14</f>
        <v/>
      </c>
      <c r="J5" s="8">
        <f>'Revenue Build'!J14</f>
        <v/>
      </c>
      <c r="K5" s="8">
        <f>'Revenue Build'!K14</f>
        <v/>
      </c>
      <c r="L5" s="8">
        <f>'Revenue Build'!L14</f>
        <v/>
      </c>
      <c r="M5" s="8">
        <f>'Revenue Build'!M14</f>
        <v/>
      </c>
      <c r="N5" s="8">
        <f>'Revenue Build'!N14</f>
        <v/>
      </c>
      <c r="O5" s="8">
        <f>'Revenue Build'!O14</f>
        <v/>
      </c>
    </row>
    <row r="6">
      <c r="B6" s="7" t="inlineStr">
        <is>
          <t>Total cost of goods sold</t>
        </is>
      </c>
      <c r="C6" s="30" t="n">
        <v>-917</v>
      </c>
      <c r="D6" s="30" t="n">
        <v>-3916</v>
      </c>
      <c r="E6" s="30" t="n">
        <v>-18200</v>
      </c>
      <c r="F6" s="30" t="n">
        <v>-16318</v>
      </c>
      <c r="G6" s="30" t="n">
        <v>-18768</v>
      </c>
      <c r="H6" s="34">
        <f>-H5*(1-Assumptions!H25)</f>
        <v/>
      </c>
      <c r="I6" s="34">
        <f>-I5*(1-Assumptions!I25)</f>
        <v/>
      </c>
      <c r="J6" s="34">
        <f>-J5*(1-Assumptions!J25)</f>
        <v/>
      </c>
      <c r="K6" s="34">
        <f>-K5*(1-Assumptions!K25)</f>
        <v/>
      </c>
      <c r="L6" s="34">
        <f>-L5*(1-Assumptions!L25)</f>
        <v/>
      </c>
      <c r="M6" s="34">
        <f>-M5*(1-Assumptions!M25)</f>
        <v/>
      </c>
      <c r="N6" s="34">
        <f>-N5*(1-Assumptions!N25)</f>
        <v/>
      </c>
      <c r="O6" s="34">
        <f>-O5*(1-Assumptions!O25)</f>
        <v/>
      </c>
    </row>
    <row r="7">
      <c r="B7" s="35" t="inlineStr">
        <is>
          <t>Gross Profit</t>
        </is>
      </c>
      <c r="C7" s="36">
        <f>C5+C6</f>
        <v/>
      </c>
      <c r="D7" s="36">
        <f>D5+D6</f>
        <v/>
      </c>
      <c r="E7" s="36">
        <f>E5+E6</f>
        <v/>
      </c>
      <c r="F7" s="36">
        <f>F5+F6</f>
        <v/>
      </c>
      <c r="G7" s="36">
        <f>G5+G6</f>
        <v/>
      </c>
      <c r="H7" s="36">
        <f>H5+H6</f>
        <v/>
      </c>
      <c r="I7" s="36">
        <f>I5+I6</f>
        <v/>
      </c>
      <c r="J7" s="36">
        <f>J5+J6</f>
        <v/>
      </c>
      <c r="K7" s="36">
        <f>K5+K6</f>
        <v/>
      </c>
      <c r="L7" s="36">
        <f>L5+L6</f>
        <v/>
      </c>
      <c r="M7" s="36">
        <f>M5+M6</f>
        <v/>
      </c>
      <c r="N7" s="36">
        <f>N5+N6</f>
        <v/>
      </c>
      <c r="O7" s="36">
        <f>O5+O6</f>
        <v/>
      </c>
    </row>
    <row r="8">
      <c r="B8" s="17" t="inlineStr">
        <is>
          <t>Operating expenses</t>
        </is>
      </c>
    </row>
    <row r="9">
      <c r="B9" s="7" t="inlineStr">
        <is>
          <t xml:space="preserve">   Employee benefits expense</t>
        </is>
      </c>
      <c r="C9" s="30" t="n">
        <v>-657</v>
      </c>
      <c r="D9" s="30" t="n">
        <v>-1148</v>
      </c>
      <c r="E9" s="30" t="n">
        <v>-2600</v>
      </c>
      <c r="F9" s="30" t="n">
        <v>-3692</v>
      </c>
      <c r="G9" s="30" t="n">
        <v>-4124</v>
      </c>
      <c r="H9" s="34">
        <f>-H5*Assumptions!H26</f>
        <v/>
      </c>
      <c r="I9" s="34">
        <f>-I5*Assumptions!I26</f>
        <v/>
      </c>
      <c r="J9" s="34">
        <f>-J5*Assumptions!J26</f>
        <v/>
      </c>
      <c r="K9" s="34">
        <f>-K5*Assumptions!K26</f>
        <v/>
      </c>
      <c r="L9" s="34">
        <f>-L5*Assumptions!L26</f>
        <v/>
      </c>
      <c r="M9" s="34">
        <f>-M5*Assumptions!M26</f>
        <v/>
      </c>
      <c r="N9" s="34">
        <f>-N5*Assumptions!N26</f>
        <v/>
      </c>
      <c r="O9" s="34">
        <f>-O5*Assumptions!O26</f>
        <v/>
      </c>
    </row>
    <row r="10">
      <c r="B10" s="7" t="inlineStr">
        <is>
          <t xml:space="preserve">   Other operating expenses</t>
        </is>
      </c>
      <c r="C10" s="30" t="n">
        <v>-1015</v>
      </c>
      <c r="D10" s="30" t="n">
        <v>-1634</v>
      </c>
      <c r="E10" s="30" t="n">
        <v>-4078</v>
      </c>
      <c r="F10" s="30" t="n">
        <v>-4375</v>
      </c>
      <c r="G10" s="30" t="n">
        <v>-5467</v>
      </c>
      <c r="H10" s="34">
        <f>-H5*Assumptions!H27</f>
        <v/>
      </c>
      <c r="I10" s="34">
        <f>-I5*Assumptions!I27</f>
        <v/>
      </c>
      <c r="J10" s="34">
        <f>-J5*Assumptions!J27</f>
        <v/>
      </c>
      <c r="K10" s="34">
        <f>-K5*Assumptions!K27</f>
        <v/>
      </c>
      <c r="L10" s="34">
        <f>-L5*Assumptions!L27</f>
        <v/>
      </c>
      <c r="M10" s="34">
        <f>-M5*Assumptions!M27</f>
        <v/>
      </c>
      <c r="N10" s="34">
        <f>-N5*Assumptions!N27</f>
        <v/>
      </c>
      <c r="O10" s="34">
        <f>-O5*Assumptions!O27</f>
        <v/>
      </c>
    </row>
    <row r="11">
      <c r="B11" s="12" t="inlineStr">
        <is>
          <t>Total operating expenses</t>
        </is>
      </c>
      <c r="C11" s="33">
        <f>SUM(C9:C10)</f>
        <v/>
      </c>
      <c r="D11" s="33">
        <f>SUM(D9:D10)</f>
        <v/>
      </c>
      <c r="E11" s="33">
        <f>SUM(E9:E10)</f>
        <v/>
      </c>
      <c r="F11" s="33">
        <f>SUM(F9:F10)</f>
        <v/>
      </c>
      <c r="G11" s="33">
        <f>SUM(G9:G10)</f>
        <v/>
      </c>
      <c r="H11" s="33">
        <f>SUM(H9:H10)</f>
        <v/>
      </c>
      <c r="I11" s="33">
        <f>SUM(I9:I10)</f>
        <v/>
      </c>
      <c r="J11" s="33">
        <f>SUM(J9:J10)</f>
        <v/>
      </c>
      <c r="K11" s="33">
        <f>SUM(K9:K10)</f>
        <v/>
      </c>
      <c r="L11" s="33">
        <f>SUM(L9:L10)</f>
        <v/>
      </c>
      <c r="M11" s="33">
        <f>SUM(M9:M10)</f>
        <v/>
      </c>
      <c r="N11" s="33">
        <f>SUM(N9:N10)</f>
        <v/>
      </c>
      <c r="O11" s="33">
        <f>SUM(O9:O10)</f>
        <v/>
      </c>
    </row>
    <row r="12">
      <c r="B12" s="35" t="inlineStr">
        <is>
          <t>EBITDA</t>
        </is>
      </c>
      <c r="C12" s="36">
        <f>C7+C11</f>
        <v/>
      </c>
      <c r="D12" s="36">
        <f>D7+D11</f>
        <v/>
      </c>
      <c r="E12" s="36">
        <f>E7+E11</f>
        <v/>
      </c>
      <c r="F12" s="36">
        <f>F7+F11</f>
        <v/>
      </c>
      <c r="G12" s="36">
        <f>G7+G11</f>
        <v/>
      </c>
      <c r="H12" s="36">
        <f>H7+H11</f>
        <v/>
      </c>
      <c r="I12" s="36">
        <f>I7+I11</f>
        <v/>
      </c>
      <c r="J12" s="36">
        <f>J7+J11</f>
        <v/>
      </c>
      <c r="K12" s="36">
        <f>K7+K11</f>
        <v/>
      </c>
      <c r="L12" s="36">
        <f>L7+L11</f>
        <v/>
      </c>
      <c r="M12" s="36">
        <f>M7+M11</f>
        <v/>
      </c>
      <c r="N12" s="36">
        <f>N7+N11</f>
        <v/>
      </c>
      <c r="O12" s="36">
        <f>O7+O11</f>
        <v/>
      </c>
    </row>
    <row r="13">
      <c r="B13" s="7" t="inlineStr">
        <is>
          <t>Depreciation &amp; amortisation</t>
        </is>
      </c>
      <c r="C13" s="30" t="n">
        <v>-351</v>
      </c>
      <c r="D13" s="30" t="n">
        <v>-484</v>
      </c>
      <c r="E13" s="30" t="n">
        <v>-1128</v>
      </c>
      <c r="F13" s="30" t="n">
        <v>-1467</v>
      </c>
      <c r="G13" s="30" t="n">
        <v>-1710</v>
      </c>
      <c r="H13" s="34">
        <f>'Working Schedules'!H33</f>
        <v/>
      </c>
      <c r="I13" s="34">
        <f>'Working Schedules'!I33</f>
        <v/>
      </c>
      <c r="J13" s="34">
        <f>'Working Schedules'!J33</f>
        <v/>
      </c>
      <c r="K13" s="34">
        <f>'Working Schedules'!K33</f>
        <v/>
      </c>
      <c r="L13" s="34">
        <f>'Working Schedules'!L33</f>
        <v/>
      </c>
      <c r="M13" s="34">
        <f>'Working Schedules'!M33</f>
        <v/>
      </c>
      <c r="N13" s="34">
        <f>'Working Schedules'!N33</f>
        <v/>
      </c>
      <c r="O13" s="34">
        <f>'Working Schedules'!O33</f>
        <v/>
      </c>
    </row>
    <row r="14">
      <c r="B14" s="12" t="inlineStr">
        <is>
          <t>EBIT</t>
        </is>
      </c>
      <c r="C14" s="33">
        <f>C12+C13</f>
        <v/>
      </c>
      <c r="D14" s="33">
        <f>D12+D13</f>
        <v/>
      </c>
      <c r="E14" s="33">
        <f>E12+E13</f>
        <v/>
      </c>
      <c r="F14" s="33">
        <f>F12+F13</f>
        <v/>
      </c>
      <c r="G14" s="33">
        <f>G12+G13</f>
        <v/>
      </c>
      <c r="H14" s="33">
        <f>H12+H13</f>
        <v/>
      </c>
      <c r="I14" s="33">
        <f>I12+I13</f>
        <v/>
      </c>
      <c r="J14" s="33">
        <f>J12+J13</f>
        <v/>
      </c>
      <c r="K14" s="33">
        <f>K12+K13</f>
        <v/>
      </c>
      <c r="L14" s="33">
        <f>L12+L13</f>
        <v/>
      </c>
      <c r="M14" s="33">
        <f>M12+M13</f>
        <v/>
      </c>
      <c r="N14" s="33">
        <f>N12+N13</f>
        <v/>
      </c>
      <c r="O14" s="33">
        <f>O12+O13</f>
        <v/>
      </c>
    </row>
    <row r="15">
      <c r="B15" s="7" t="inlineStr">
        <is>
          <t>Other income</t>
        </is>
      </c>
      <c r="C15" s="30" t="n">
        <v>85</v>
      </c>
      <c r="D15" s="30" t="n">
        <v>54</v>
      </c>
      <c r="E15" s="30" t="n">
        <v>225</v>
      </c>
      <c r="F15" s="30" t="n">
        <v>353</v>
      </c>
      <c r="G15" s="30" t="n">
        <v>502</v>
      </c>
      <c r="H15" s="39" t="inlineStr">
        <is>
          <t>0</t>
        </is>
      </c>
      <c r="I15" s="39" t="inlineStr">
        <is>
          <t>0</t>
        </is>
      </c>
      <c r="J15" s="39" t="inlineStr">
        <is>
          <t>0</t>
        </is>
      </c>
      <c r="K15" s="39" t="inlineStr">
        <is>
          <t>0</t>
        </is>
      </c>
      <c r="L15" s="39" t="inlineStr">
        <is>
          <t>0</t>
        </is>
      </c>
      <c r="M15" s="39" t="inlineStr">
        <is>
          <t>0</t>
        </is>
      </c>
      <c r="N15" s="39" t="inlineStr">
        <is>
          <t>0</t>
        </is>
      </c>
      <c r="O15" s="39" t="inlineStr">
        <is>
          <t>0</t>
        </is>
      </c>
    </row>
    <row r="16">
      <c r="B16" s="7" t="inlineStr">
        <is>
          <t>Exceptional items</t>
        </is>
      </c>
      <c r="C16" s="30" t="n">
        <v>0</v>
      </c>
      <c r="D16" s="30" t="n">
        <v>0</v>
      </c>
      <c r="E16" s="30" t="n">
        <v>0</v>
      </c>
      <c r="F16" s="30" t="n">
        <v>-1746</v>
      </c>
      <c r="G16" s="30" t="n">
        <v>0</v>
      </c>
      <c r="H16" s="39" t="inlineStr">
        <is>
          <t>0</t>
        </is>
      </c>
      <c r="I16" s="39" t="inlineStr">
        <is>
          <t>0</t>
        </is>
      </c>
      <c r="J16" s="39" t="inlineStr">
        <is>
          <t>0</t>
        </is>
      </c>
      <c r="K16" s="39" t="inlineStr">
        <is>
          <t>0</t>
        </is>
      </c>
      <c r="L16" s="39" t="inlineStr">
        <is>
          <t>0</t>
        </is>
      </c>
      <c r="M16" s="39" t="inlineStr">
        <is>
          <t>0</t>
        </is>
      </c>
      <c r="N16" s="39" t="inlineStr">
        <is>
          <t>0</t>
        </is>
      </c>
      <c r="O16" s="39" t="inlineStr">
        <is>
          <t>0</t>
        </is>
      </c>
    </row>
    <row r="17">
      <c r="B17" s="7" t="inlineStr">
        <is>
          <t>Finance costs</t>
        </is>
      </c>
      <c r="C17" s="30" t="n">
        <v>-276</v>
      </c>
      <c r="D17" s="30" t="n">
        <v>-398</v>
      </c>
      <c r="E17" s="30" t="n">
        <v>-700</v>
      </c>
      <c r="F17" s="30" t="n">
        <v>-890</v>
      </c>
      <c r="G17" s="30" t="n">
        <v>-1106</v>
      </c>
      <c r="H17" s="34">
        <f>-'Working Schedules'!H53</f>
        <v/>
      </c>
      <c r="I17" s="34">
        <f>-'Working Schedules'!I53</f>
        <v/>
      </c>
      <c r="J17" s="34">
        <f>-'Working Schedules'!J53</f>
        <v/>
      </c>
      <c r="K17" s="34">
        <f>-'Working Schedules'!K53</f>
        <v/>
      </c>
      <c r="L17" s="34">
        <f>-'Working Schedules'!L53</f>
        <v/>
      </c>
      <c r="M17" s="34">
        <f>-'Working Schedules'!M53</f>
        <v/>
      </c>
      <c r="N17" s="34">
        <f>-'Working Schedules'!N53</f>
        <v/>
      </c>
      <c r="O17" s="34">
        <f>-'Working Schedules'!O53</f>
        <v/>
      </c>
    </row>
    <row r="18">
      <c r="B18" s="7" t="inlineStr">
        <is>
          <t>Interest income</t>
        </is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4">
        <f>BS!G43*Assumptions!H44</f>
        <v/>
      </c>
      <c r="I18" s="34">
        <f>BS!H43*Assumptions!I44</f>
        <v/>
      </c>
      <c r="J18" s="34">
        <f>BS!I43*Assumptions!J44</f>
        <v/>
      </c>
      <c r="K18" s="34">
        <f>BS!J43*Assumptions!K44</f>
        <v/>
      </c>
      <c r="L18" s="34">
        <f>BS!K43*Assumptions!L44</f>
        <v/>
      </c>
      <c r="M18" s="34">
        <f>BS!L43*Assumptions!M44</f>
        <v/>
      </c>
      <c r="N18" s="34">
        <f>BS!M43*Assumptions!N44</f>
        <v/>
      </c>
      <c r="O18" s="34">
        <f>BS!N43*Assumptions!O44</f>
        <v/>
      </c>
    </row>
    <row r="19">
      <c r="B19" s="35" t="inlineStr">
        <is>
          <t>Profit / (Loss) before tax</t>
        </is>
      </c>
      <c r="C19" s="36">
        <f>SUM(C14:C18)</f>
        <v/>
      </c>
      <c r="D19" s="36">
        <f>SUM(D14:D18)</f>
        <v/>
      </c>
      <c r="E19" s="36">
        <f>SUM(E14:E18)</f>
        <v/>
      </c>
      <c r="F19" s="36">
        <f>SUM(F14:F18)</f>
        <v/>
      </c>
      <c r="G19" s="36">
        <f>SUM(G14:G18)</f>
        <v/>
      </c>
      <c r="H19" s="36">
        <f>SUM(H14:H18)</f>
        <v/>
      </c>
      <c r="I19" s="36">
        <f>SUM(I14:I18)</f>
        <v/>
      </c>
      <c r="J19" s="36">
        <f>SUM(J14:J18)</f>
        <v/>
      </c>
      <c r="K19" s="36">
        <f>SUM(K14:K18)</f>
        <v/>
      </c>
      <c r="L19" s="36">
        <f>SUM(L14:L18)</f>
        <v/>
      </c>
      <c r="M19" s="36">
        <f>SUM(M14:M18)</f>
        <v/>
      </c>
      <c r="N19" s="36">
        <f>SUM(N14:N18)</f>
        <v/>
      </c>
      <c r="O19" s="36">
        <f>SUM(O14:O18)</f>
        <v/>
      </c>
    </row>
    <row r="20">
      <c r="B20" s="7" t="inlineStr">
        <is>
          <t>Tax expense</t>
        </is>
      </c>
      <c r="C20" s="30" t="n">
        <v>0</v>
      </c>
      <c r="D20" s="30" t="n">
        <v>0</v>
      </c>
      <c r="E20" s="30" t="n">
        <v>0</v>
      </c>
      <c r="F20" s="30" t="n">
        <v>0</v>
      </c>
      <c r="G20" s="30" t="n">
        <v>0</v>
      </c>
      <c r="H20" s="34">
        <f>-'Working Schedules'!H62</f>
        <v/>
      </c>
      <c r="I20" s="34">
        <f>-'Working Schedules'!I62</f>
        <v/>
      </c>
      <c r="J20" s="34">
        <f>-'Working Schedules'!J62</f>
        <v/>
      </c>
      <c r="K20" s="34">
        <f>-'Working Schedules'!K62</f>
        <v/>
      </c>
      <c r="L20" s="34">
        <f>-'Working Schedules'!L62</f>
        <v/>
      </c>
      <c r="M20" s="34">
        <f>-'Working Schedules'!M62</f>
        <v/>
      </c>
      <c r="N20" s="34">
        <f>-'Working Schedules'!N62</f>
        <v/>
      </c>
      <c r="O20" s="34">
        <f>-'Working Schedules'!O62</f>
        <v/>
      </c>
    </row>
    <row r="21">
      <c r="B21" s="7" t="inlineStr">
        <is>
          <t>Adjustments / share of associates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9" t="inlineStr">
        <is>
          <t>0</t>
        </is>
      </c>
      <c r="I21" s="39" t="inlineStr">
        <is>
          <t>0</t>
        </is>
      </c>
      <c r="J21" s="39" t="inlineStr">
        <is>
          <t>0</t>
        </is>
      </c>
      <c r="K21" s="39" t="inlineStr">
        <is>
          <t>0</t>
        </is>
      </c>
      <c r="L21" s="39" t="inlineStr">
        <is>
          <t>0</t>
        </is>
      </c>
      <c r="M21" s="39" t="inlineStr">
        <is>
          <t>0</t>
        </is>
      </c>
      <c r="N21" s="39" t="inlineStr">
        <is>
          <t>0</t>
        </is>
      </c>
      <c r="O21" s="39" t="inlineStr">
        <is>
          <t>0</t>
        </is>
      </c>
    </row>
    <row r="22">
      <c r="B22" s="35" t="inlineStr">
        <is>
          <t>Profit / (Loss) after tax (PAT)</t>
        </is>
      </c>
      <c r="C22" s="36">
        <f>C19+C20+C21</f>
        <v/>
      </c>
      <c r="D22" s="36">
        <f>D19+D20+D21</f>
        <v/>
      </c>
      <c r="E22" s="36">
        <f>E19+E20+E21</f>
        <v/>
      </c>
      <c r="F22" s="36">
        <f>F19+F20+F21</f>
        <v/>
      </c>
      <c r="G22" s="36">
        <f>G19+G20+G21</f>
        <v/>
      </c>
      <c r="H22" s="36">
        <f>H19+H20+H21</f>
        <v/>
      </c>
      <c r="I22" s="36">
        <f>I19+I20+I21</f>
        <v/>
      </c>
      <c r="J22" s="36">
        <f>J19+J20+J21</f>
        <v/>
      </c>
      <c r="K22" s="36">
        <f>K19+K20+K21</f>
        <v/>
      </c>
      <c r="L22" s="36">
        <f>L19+L20+L21</f>
        <v/>
      </c>
      <c r="M22" s="36">
        <f>M19+M20+M21</f>
        <v/>
      </c>
      <c r="N22" s="36">
        <f>N19+N20+N21</f>
        <v/>
      </c>
      <c r="O22" s="36">
        <f>O19+O20+O21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B2:O48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Balance Sheet (INR millions)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6">
      <c r="B6" s="19" t="inlineStr">
        <is>
          <t>EQUITY &amp; LIABILITIES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>
      <c r="B7" s="17" t="inlineStr">
        <is>
          <t>Shareholders' funds</t>
        </is>
      </c>
    </row>
    <row r="8">
      <c r="B8" s="7" t="inlineStr">
        <is>
          <t xml:space="preserve">   Equity share capital &amp; instruments</t>
        </is>
      </c>
      <c r="C8" s="30" t="n">
        <v>4</v>
      </c>
      <c r="D8" s="30" t="n">
        <v>7</v>
      </c>
      <c r="E8" s="30" t="n">
        <v>6</v>
      </c>
      <c r="F8" s="30" t="n">
        <v>8</v>
      </c>
      <c r="G8" s="30" t="n">
        <v>291</v>
      </c>
      <c r="H8" s="39">
        <f>G8+81</f>
        <v/>
      </c>
      <c r="I8" s="39">
        <f>H8</f>
        <v/>
      </c>
      <c r="J8" s="39">
        <f>I8</f>
        <v/>
      </c>
      <c r="K8" s="39">
        <f>J8</f>
        <v/>
      </c>
      <c r="L8" s="39">
        <f>K8</f>
        <v/>
      </c>
      <c r="M8" s="39">
        <f>L8</f>
        <v/>
      </c>
      <c r="N8" s="39">
        <f>M8</f>
        <v/>
      </c>
      <c r="O8" s="39">
        <f>N8</f>
        <v/>
      </c>
    </row>
    <row r="9">
      <c r="B9" s="7" t="inlineStr">
        <is>
          <t xml:space="preserve">   Other equity (reserves &amp; surplus)</t>
        </is>
      </c>
      <c r="C9" s="30" t="n">
        <v>3758</v>
      </c>
      <c r="D9" s="30" t="n">
        <v>2242</v>
      </c>
      <c r="E9" s="30" t="n">
        <v>6131</v>
      </c>
      <c r="F9" s="30" t="n">
        <v>5451</v>
      </c>
      <c r="G9" s="30" t="n">
        <v>4639</v>
      </c>
      <c r="H9" s="34">
        <f>G9+PL!H22+Assumptions!H45-(H8-G8)+(-PL!H9)*Assumptions!H29</f>
        <v/>
      </c>
      <c r="I9" s="34">
        <f>H9+PL!I22+Assumptions!I45-(I8-H8)+(-PL!I9)*Assumptions!I29</f>
        <v/>
      </c>
      <c r="J9" s="34">
        <f>I9+PL!J22+Assumptions!J45-(J8-I8)+(-PL!J9)*Assumptions!J29</f>
        <v/>
      </c>
      <c r="K9" s="34">
        <f>J9+PL!K22+Assumptions!K45-(K8-J8)+(-PL!K9)*Assumptions!K29</f>
        <v/>
      </c>
      <c r="L9" s="34">
        <f>K9+PL!L22+Assumptions!L45-(L8-K8)+(-PL!L9)*Assumptions!L29</f>
        <v/>
      </c>
      <c r="M9" s="34">
        <f>L9+PL!M22+Assumptions!M45-(M8-L8)+(-PL!M9)*Assumptions!M29</f>
        <v/>
      </c>
      <c r="N9" s="34">
        <f>M9+PL!N22+Assumptions!N45-(N8-M8)+(-PL!N9)*Assumptions!N29</f>
        <v/>
      </c>
      <c r="O9" s="34">
        <f>N9+PL!O22+Assumptions!O45-(O8-N8)+(-PL!O9)*Assumptions!O29</f>
        <v/>
      </c>
    </row>
    <row r="10">
      <c r="B10" s="12" t="inlineStr">
        <is>
          <t>Total equity</t>
        </is>
      </c>
      <c r="C10" s="33">
        <f>C8+C9</f>
        <v/>
      </c>
      <c r="D10" s="33">
        <f>D8+D9</f>
        <v/>
      </c>
      <c r="E10" s="33">
        <f>E8+E9</f>
        <v/>
      </c>
      <c r="F10" s="33">
        <f>F8+F9</f>
        <v/>
      </c>
      <c r="G10" s="33">
        <f>G8+G9</f>
        <v/>
      </c>
      <c r="H10" s="33">
        <f>H8+H9</f>
        <v/>
      </c>
      <c r="I10" s="33">
        <f>I8+I9</f>
        <v/>
      </c>
      <c r="J10" s="33">
        <f>J8+J9</f>
        <v/>
      </c>
      <c r="K10" s="33">
        <f>K8+K9</f>
        <v/>
      </c>
      <c r="L10" s="33">
        <f>L8+L9</f>
        <v/>
      </c>
      <c r="M10" s="33">
        <f>M8+M9</f>
        <v/>
      </c>
      <c r="N10" s="33">
        <f>N8+N9</f>
        <v/>
      </c>
      <c r="O10" s="33">
        <f>O8+O9</f>
        <v/>
      </c>
    </row>
    <row r="12">
      <c r="B12" s="17" t="inlineStr">
        <is>
          <t>Non-current liabilities</t>
        </is>
      </c>
    </row>
    <row r="13">
      <c r="B13" s="7" t="inlineStr">
        <is>
          <t xml:space="preserve">   Long-term borrowings</t>
        </is>
      </c>
      <c r="C13" s="30" t="n">
        <v>1108</v>
      </c>
      <c r="D13" s="30" t="n">
        <v>1088</v>
      </c>
      <c r="E13" s="30" t="n">
        <v>1200</v>
      </c>
      <c r="F13" s="30" t="n">
        <v>309</v>
      </c>
      <c r="G13" s="30" t="n">
        <v>1169</v>
      </c>
      <c r="H13" s="34">
        <f>'Working Schedules'!H39*($G$13/($G$13+$G$21))</f>
        <v/>
      </c>
      <c r="I13" s="34">
        <f>'Working Schedules'!I39*($G$13/($G$13+$G$21))</f>
        <v/>
      </c>
      <c r="J13" s="34">
        <f>'Working Schedules'!J39*($G$13/($G$13+$G$21))</f>
        <v/>
      </c>
      <c r="K13" s="34">
        <f>'Working Schedules'!K39*($G$13/($G$13+$G$21))</f>
        <v/>
      </c>
      <c r="L13" s="34">
        <f>'Working Schedules'!L39*($G$13/($G$13+$G$21))</f>
        <v/>
      </c>
      <c r="M13" s="34">
        <f>'Working Schedules'!M39*($G$13/($G$13+$G$21))</f>
        <v/>
      </c>
      <c r="N13" s="34">
        <f>'Working Schedules'!N39*($G$13/($G$13+$G$21))</f>
        <v/>
      </c>
      <c r="O13" s="34">
        <f>'Working Schedules'!O39*($G$13/($G$13+$G$21))</f>
        <v/>
      </c>
    </row>
    <row r="14">
      <c r="B14" s="7" t="inlineStr">
        <is>
          <t xml:space="preserve">   Lease liabilities (non-current)</t>
        </is>
      </c>
      <c r="C14" s="30" t="n">
        <v>375</v>
      </c>
      <c r="D14" s="30" t="n">
        <v>597</v>
      </c>
      <c r="E14" s="30" t="n">
        <v>1600</v>
      </c>
      <c r="F14" s="30" t="n">
        <v>1419</v>
      </c>
      <c r="G14" s="30" t="n">
        <v>1431</v>
      </c>
      <c r="H14" s="34">
        <f>'Working Schedules'!H47*($G$14/($G$14+$G$22))</f>
        <v/>
      </c>
      <c r="I14" s="34">
        <f>'Working Schedules'!I47*($G$14/($G$14+$G$22))</f>
        <v/>
      </c>
      <c r="J14" s="34">
        <f>'Working Schedules'!J47*($G$14/($G$14+$G$22))</f>
        <v/>
      </c>
      <c r="K14" s="34">
        <f>'Working Schedules'!K47*($G$14/($G$14+$G$22))</f>
        <v/>
      </c>
      <c r="L14" s="34">
        <f>'Working Schedules'!L47*($G$14/($G$14+$G$22))</f>
        <v/>
      </c>
      <c r="M14" s="34">
        <f>'Working Schedules'!M47*($G$14/($G$14+$G$22))</f>
        <v/>
      </c>
      <c r="N14" s="34">
        <f>'Working Schedules'!N47*($G$14/($G$14+$G$22))</f>
        <v/>
      </c>
      <c r="O14" s="34">
        <f>'Working Schedules'!O47*($G$14/($G$14+$G$22))</f>
        <v/>
      </c>
    </row>
    <row r="15">
      <c r="B15" s="7" t="inlineStr">
        <is>
          <t xml:space="preserve">   Long-term provisions</t>
        </is>
      </c>
      <c r="C15" s="30" t="n">
        <v>124</v>
      </c>
      <c r="D15" s="30" t="n">
        <v>290</v>
      </c>
      <c r="E15" s="30" t="n">
        <v>480</v>
      </c>
      <c r="F15" s="30" t="n">
        <v>702</v>
      </c>
      <c r="G15" s="30" t="n">
        <v>792</v>
      </c>
      <c r="H15" s="34">
        <f>$G$15/PL!$G$5*PL!H5</f>
        <v/>
      </c>
      <c r="I15" s="34">
        <f>$G$15/PL!$G$5*PL!I5</f>
        <v/>
      </c>
      <c r="J15" s="34">
        <f>$G$15/PL!$G$5*PL!J5</f>
        <v/>
      </c>
      <c r="K15" s="34">
        <f>$G$15/PL!$G$5*PL!K5</f>
        <v/>
      </c>
      <c r="L15" s="34">
        <f>$G$15/PL!$G$5*PL!L5</f>
        <v/>
      </c>
      <c r="M15" s="34">
        <f>$G$15/PL!$G$5*PL!M5</f>
        <v/>
      </c>
      <c r="N15" s="34">
        <f>$G$15/PL!$G$5*PL!N5</f>
        <v/>
      </c>
      <c r="O15" s="34">
        <f>$G$15/PL!$G$5*PL!O5</f>
        <v/>
      </c>
    </row>
    <row r="16">
      <c r="B16" s="7" t="inlineStr">
        <is>
          <t xml:space="preserve">   Other non-current liabilities</t>
        </is>
      </c>
      <c r="C16" s="30" t="n">
        <v>6</v>
      </c>
      <c r="D16" s="30" t="n">
        <v>19</v>
      </c>
      <c r="E16" s="30" t="n">
        <v>200</v>
      </c>
      <c r="F16" s="30" t="n">
        <v>482</v>
      </c>
      <c r="G16" s="30" t="n">
        <v>952</v>
      </c>
      <c r="H16" s="34">
        <f>$G$16/PL!$G$5*PL!H5</f>
        <v/>
      </c>
      <c r="I16" s="34">
        <f>$G$16/PL!$G$5*PL!I5</f>
        <v/>
      </c>
      <c r="J16" s="34">
        <f>$G$16/PL!$G$5*PL!J5</f>
        <v/>
      </c>
      <c r="K16" s="34">
        <f>$G$16/PL!$G$5*PL!K5</f>
        <v/>
      </c>
      <c r="L16" s="34">
        <f>$G$16/PL!$G$5*PL!L5</f>
        <v/>
      </c>
      <c r="M16" s="34">
        <f>$G$16/PL!$G$5*PL!M5</f>
        <v/>
      </c>
      <c r="N16" s="34">
        <f>$G$16/PL!$G$5*PL!N5</f>
        <v/>
      </c>
      <c r="O16" s="34">
        <f>$G$16/PL!$G$5*PL!O5</f>
        <v/>
      </c>
    </row>
    <row r="17">
      <c r="B17" s="12" t="inlineStr">
        <is>
          <t>Total non-current liabilities</t>
        </is>
      </c>
      <c r="C17" s="33">
        <f>SUM(C13:C16)</f>
        <v/>
      </c>
      <c r="D17" s="33">
        <f>SUM(D13:D16)</f>
        <v/>
      </c>
      <c r="E17" s="33">
        <f>SUM(E13:E16)</f>
        <v/>
      </c>
      <c r="F17" s="33">
        <f>SUM(F13:F16)</f>
        <v/>
      </c>
      <c r="G17" s="33">
        <f>SUM(G13:G16)</f>
        <v/>
      </c>
      <c r="H17" s="33">
        <f>SUM(H13:H16)</f>
        <v/>
      </c>
      <c r="I17" s="33">
        <f>SUM(I13:I16)</f>
        <v/>
      </c>
      <c r="J17" s="33">
        <f>SUM(J13:J16)</f>
        <v/>
      </c>
      <c r="K17" s="33">
        <f>SUM(K13:K16)</f>
        <v/>
      </c>
      <c r="L17" s="33">
        <f>SUM(L13:L16)</f>
        <v/>
      </c>
      <c r="M17" s="33">
        <f>SUM(M13:M16)</f>
        <v/>
      </c>
      <c r="N17" s="33">
        <f>SUM(N13:N16)</f>
        <v/>
      </c>
      <c r="O17" s="33">
        <f>SUM(O13:O16)</f>
        <v/>
      </c>
    </row>
    <row r="19">
      <c r="B19" s="17" t="inlineStr">
        <is>
          <t>Current liabilities</t>
        </is>
      </c>
    </row>
    <row r="20">
      <c r="B20" s="7" t="inlineStr">
        <is>
          <t xml:space="preserve">   Trade payables</t>
        </is>
      </c>
      <c r="C20" s="30" t="n">
        <v>676</v>
      </c>
      <c r="D20" s="30" t="n">
        <v>1216</v>
      </c>
      <c r="E20" s="30" t="n">
        <v>2400</v>
      </c>
      <c r="F20" s="30" t="n">
        <v>4027</v>
      </c>
      <c r="G20" s="30" t="n">
        <v>5609</v>
      </c>
      <c r="H20" s="34">
        <f>'Working Capital Schedule'!H15</f>
        <v/>
      </c>
      <c r="I20" s="34">
        <f>'Working Capital Schedule'!I15</f>
        <v/>
      </c>
      <c r="J20" s="34">
        <f>'Working Capital Schedule'!J15</f>
        <v/>
      </c>
      <c r="K20" s="34">
        <f>'Working Capital Schedule'!K15</f>
        <v/>
      </c>
      <c r="L20" s="34">
        <f>'Working Capital Schedule'!L15</f>
        <v/>
      </c>
      <c r="M20" s="34">
        <f>'Working Capital Schedule'!M15</f>
        <v/>
      </c>
      <c r="N20" s="34">
        <f>'Working Capital Schedule'!N15</f>
        <v/>
      </c>
      <c r="O20" s="34">
        <f>'Working Capital Schedule'!O15</f>
        <v/>
      </c>
    </row>
    <row r="21">
      <c r="B21" s="7" t="inlineStr">
        <is>
          <t xml:space="preserve">   Short-term borrowings</t>
        </is>
      </c>
      <c r="C21" s="30" t="n">
        <v>609</v>
      </c>
      <c r="D21" s="30" t="n">
        <v>1897</v>
      </c>
      <c r="E21" s="30" t="n">
        <v>3652</v>
      </c>
      <c r="F21" s="30" t="n">
        <v>2840</v>
      </c>
      <c r="G21" s="30" t="n">
        <v>3330</v>
      </c>
      <c r="H21" s="34">
        <f>'Working Schedules'!H39*($G$21/($G$13+$G$21))</f>
        <v/>
      </c>
      <c r="I21" s="34">
        <f>'Working Schedules'!I39*($G$21/($G$13+$G$21))</f>
        <v/>
      </c>
      <c r="J21" s="34">
        <f>'Working Schedules'!J39*($G$21/($G$13+$G$21))</f>
        <v/>
      </c>
      <c r="K21" s="34">
        <f>'Working Schedules'!K39*($G$21/($G$13+$G$21))</f>
        <v/>
      </c>
      <c r="L21" s="34">
        <f>'Working Schedules'!L39*($G$21/($G$13+$G$21))</f>
        <v/>
      </c>
      <c r="M21" s="34">
        <f>'Working Schedules'!M39*($G$21/($G$13+$G$21))</f>
        <v/>
      </c>
      <c r="N21" s="34">
        <f>'Working Schedules'!N39*($G$21/($G$13+$G$21))</f>
        <v/>
      </c>
      <c r="O21" s="34">
        <f>'Working Schedules'!O39*($G$21/($G$13+$G$21))</f>
        <v/>
      </c>
    </row>
    <row r="22">
      <c r="B22" s="7" t="inlineStr">
        <is>
          <t xml:space="preserve">   Lease liabilities (current)</t>
        </is>
      </c>
      <c r="C22" s="30" t="n">
        <v>97</v>
      </c>
      <c r="D22" s="30" t="n">
        <v>68</v>
      </c>
      <c r="E22" s="30" t="n">
        <v>264</v>
      </c>
      <c r="F22" s="30" t="n">
        <v>209</v>
      </c>
      <c r="G22" s="30" t="n">
        <v>263</v>
      </c>
      <c r="H22" s="34">
        <f>'Working Schedules'!H47*($G$22/($G$14+$G$22))</f>
        <v/>
      </c>
      <c r="I22" s="34">
        <f>'Working Schedules'!I47*($G$22/($G$14+$G$22))</f>
        <v/>
      </c>
      <c r="J22" s="34">
        <f>'Working Schedules'!J47*($G$22/($G$14+$G$22))</f>
        <v/>
      </c>
      <c r="K22" s="34">
        <f>'Working Schedules'!K47*($G$22/($G$14+$G$22))</f>
        <v/>
      </c>
      <c r="L22" s="34">
        <f>'Working Schedules'!L47*($G$22/($G$14+$G$22))</f>
        <v/>
      </c>
      <c r="M22" s="34">
        <f>'Working Schedules'!M47*($G$22/($G$14+$G$22))</f>
        <v/>
      </c>
      <c r="N22" s="34">
        <f>'Working Schedules'!N47*($G$22/($G$14+$G$22))</f>
        <v/>
      </c>
      <c r="O22" s="34">
        <f>'Working Schedules'!O47*($G$22/($G$14+$G$22))</f>
        <v/>
      </c>
    </row>
    <row r="23">
      <c r="B23" s="7" t="inlineStr">
        <is>
          <t xml:space="preserve">   Short-term provisions</t>
        </is>
      </c>
      <c r="C23" s="30" t="n">
        <v>44</v>
      </c>
      <c r="D23" s="30" t="n">
        <v>105</v>
      </c>
      <c r="E23" s="30" t="n">
        <v>400</v>
      </c>
      <c r="F23" s="30" t="n">
        <v>807</v>
      </c>
      <c r="G23" s="30" t="n">
        <v>1189</v>
      </c>
      <c r="H23" s="34">
        <f>Assumptions!H55*PL!H5</f>
        <v/>
      </c>
      <c r="I23" s="34">
        <f>Assumptions!I55*PL!I5</f>
        <v/>
      </c>
      <c r="J23" s="34">
        <f>Assumptions!J55*PL!J5</f>
        <v/>
      </c>
      <c r="K23" s="34">
        <f>Assumptions!K55*PL!K5</f>
        <v/>
      </c>
      <c r="L23" s="34">
        <f>Assumptions!L55*PL!L5</f>
        <v/>
      </c>
      <c r="M23" s="34">
        <f>Assumptions!M55*PL!M5</f>
        <v/>
      </c>
      <c r="N23" s="34">
        <f>Assumptions!N55*PL!N5</f>
        <v/>
      </c>
      <c r="O23" s="34">
        <f>Assumptions!O55*PL!O5</f>
        <v/>
      </c>
    </row>
    <row r="24">
      <c r="B24" s="7" t="inlineStr">
        <is>
          <t xml:space="preserve">   Other current liabilities</t>
        </is>
      </c>
      <c r="C24" s="30" t="n">
        <v>612</v>
      </c>
      <c r="D24" s="30" t="n">
        <v>657</v>
      </c>
      <c r="E24" s="30" t="n">
        <v>1400</v>
      </c>
      <c r="F24" s="30" t="n">
        <v>2881</v>
      </c>
      <c r="G24" s="30" t="n">
        <v>1341</v>
      </c>
      <c r="H24" s="34">
        <f>Assumptions!H54*PL!H5</f>
        <v/>
      </c>
      <c r="I24" s="34">
        <f>Assumptions!I54*PL!I5</f>
        <v/>
      </c>
      <c r="J24" s="34">
        <f>Assumptions!J54*PL!J5</f>
        <v/>
      </c>
      <c r="K24" s="34">
        <f>Assumptions!K54*PL!K5</f>
        <v/>
      </c>
      <c r="L24" s="34">
        <f>Assumptions!L54*PL!L5</f>
        <v/>
      </c>
      <c r="M24" s="34">
        <f>Assumptions!M54*PL!M5</f>
        <v/>
      </c>
      <c r="N24" s="34">
        <f>Assumptions!N54*PL!N5</f>
        <v/>
      </c>
      <c r="O24" s="34">
        <f>Assumptions!O54*PL!O5</f>
        <v/>
      </c>
    </row>
    <row r="25">
      <c r="B25" s="12" t="inlineStr">
        <is>
          <t>Total current liabilities</t>
        </is>
      </c>
      <c r="C25" s="33">
        <f>SUM(C20:C24)</f>
        <v/>
      </c>
      <c r="D25" s="33">
        <f>SUM(D20:D24)</f>
        <v/>
      </c>
      <c r="E25" s="33">
        <f>SUM(E20:E24)</f>
        <v/>
      </c>
      <c r="F25" s="33">
        <f>SUM(F20:F24)</f>
        <v/>
      </c>
      <c r="G25" s="33">
        <f>SUM(G20:G24)</f>
        <v/>
      </c>
      <c r="H25" s="33">
        <f>SUM(H20:H24)</f>
        <v/>
      </c>
      <c r="I25" s="33">
        <f>SUM(I20:I24)</f>
        <v/>
      </c>
      <c r="J25" s="33">
        <f>SUM(J20:J24)</f>
        <v/>
      </c>
      <c r="K25" s="33">
        <f>SUM(K20:K24)</f>
        <v/>
      </c>
      <c r="L25" s="33">
        <f>SUM(L20:L24)</f>
        <v/>
      </c>
      <c r="M25" s="33">
        <f>SUM(M20:M24)</f>
        <v/>
      </c>
      <c r="N25" s="33">
        <f>SUM(N20:N24)</f>
        <v/>
      </c>
      <c r="O25" s="33">
        <f>SUM(O20:O24)</f>
        <v/>
      </c>
    </row>
    <row r="27">
      <c r="B27" s="35" t="inlineStr">
        <is>
          <t>TOTAL EQUITY &amp; LIABILITIES</t>
        </is>
      </c>
      <c r="C27" s="36">
        <f>C10+C17+C25</f>
        <v/>
      </c>
      <c r="D27" s="36">
        <f>D10+D17+D25</f>
        <v/>
      </c>
      <c r="E27" s="36">
        <f>E10+E17+E25</f>
        <v/>
      </c>
      <c r="F27" s="36">
        <f>F10+F17+F25</f>
        <v/>
      </c>
      <c r="G27" s="36">
        <f>G10+G17+G25</f>
        <v/>
      </c>
      <c r="H27" s="36">
        <f>H10+H17+H25</f>
        <v/>
      </c>
      <c r="I27" s="36">
        <f>I10+I17+I25</f>
        <v/>
      </c>
      <c r="J27" s="36">
        <f>J10+J17+J25</f>
        <v/>
      </c>
      <c r="K27" s="36">
        <f>K10+K17+K25</f>
        <v/>
      </c>
      <c r="L27" s="36">
        <f>L10+L17+L25</f>
        <v/>
      </c>
      <c r="M27" s="36">
        <f>M10+M17+M25</f>
        <v/>
      </c>
      <c r="N27" s="36">
        <f>N10+N17+N25</f>
        <v/>
      </c>
      <c r="O27" s="36">
        <f>O10+O17+O25</f>
        <v/>
      </c>
    </row>
    <row r="29">
      <c r="B29" s="19" t="inlineStr">
        <is>
          <t>ASSETS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B30" s="17" t="inlineStr">
        <is>
          <t>Non-current assets</t>
        </is>
      </c>
    </row>
    <row r="31">
      <c r="B31" s="7" t="inlineStr">
        <is>
          <t xml:space="preserve">   Property, plant &amp; equipment</t>
        </is>
      </c>
      <c r="C31" s="30" t="n">
        <v>800</v>
      </c>
      <c r="D31" s="30" t="n">
        <v>931</v>
      </c>
      <c r="E31" s="30" t="n">
        <v>1400</v>
      </c>
      <c r="F31" s="30" t="n">
        <v>1871</v>
      </c>
      <c r="G31" s="30" t="n">
        <v>2674</v>
      </c>
      <c r="H31" s="34">
        <f>'Working Schedules'!H9</f>
        <v/>
      </c>
      <c r="I31" s="34">
        <f>'Working Schedules'!I9</f>
        <v/>
      </c>
      <c r="J31" s="34">
        <f>'Working Schedules'!J9</f>
        <v/>
      </c>
      <c r="K31" s="34">
        <f>'Working Schedules'!K9</f>
        <v/>
      </c>
      <c r="L31" s="34">
        <f>'Working Schedules'!L9</f>
        <v/>
      </c>
      <c r="M31" s="34">
        <f>'Working Schedules'!M9</f>
        <v/>
      </c>
      <c r="N31" s="34">
        <f>'Working Schedules'!N9</f>
        <v/>
      </c>
      <c r="O31" s="34">
        <f>'Working Schedules'!O9</f>
        <v/>
      </c>
    </row>
    <row r="32">
      <c r="B32" s="7" t="inlineStr">
        <is>
          <t xml:space="preserve">   Capital work-in-progress</t>
        </is>
      </c>
      <c r="C32" s="30" t="n">
        <v>1</v>
      </c>
      <c r="D32" s="30" t="n">
        <v>4</v>
      </c>
      <c r="E32" s="30" t="n">
        <v>2</v>
      </c>
      <c r="F32" s="30" t="n">
        <v>0</v>
      </c>
      <c r="G32" s="30" t="n">
        <v>57</v>
      </c>
      <c r="H32" s="34">
        <f>'Working Schedules'!H27</f>
        <v/>
      </c>
      <c r="I32" s="34">
        <f>'Working Schedules'!I27</f>
        <v/>
      </c>
      <c r="J32" s="34">
        <f>'Working Schedules'!J27</f>
        <v/>
      </c>
      <c r="K32" s="34">
        <f>'Working Schedules'!K27</f>
        <v/>
      </c>
      <c r="L32" s="34">
        <f>'Working Schedules'!L27</f>
        <v/>
      </c>
      <c r="M32" s="34">
        <f>'Working Schedules'!M27</f>
        <v/>
      </c>
      <c r="N32" s="34">
        <f>'Working Schedules'!N27</f>
        <v/>
      </c>
      <c r="O32" s="34">
        <f>'Working Schedules'!O27</f>
        <v/>
      </c>
    </row>
    <row r="33">
      <c r="B33" s="7" t="inlineStr">
        <is>
          <t xml:space="preserve">   Right-of-use assets</t>
        </is>
      </c>
      <c r="C33" s="30" t="n">
        <v>444</v>
      </c>
      <c r="D33" s="30" t="n">
        <v>646</v>
      </c>
      <c r="E33" s="30" t="n">
        <v>1700</v>
      </c>
      <c r="F33" s="30" t="n">
        <v>1489</v>
      </c>
      <c r="G33" s="30" t="n">
        <v>2443</v>
      </c>
      <c r="H33" s="34">
        <f>'Working Schedules'!H16</f>
        <v/>
      </c>
      <c r="I33" s="34">
        <f>'Working Schedules'!I16</f>
        <v/>
      </c>
      <c r="J33" s="34">
        <f>'Working Schedules'!J16</f>
        <v/>
      </c>
      <c r="K33" s="34">
        <f>'Working Schedules'!K16</f>
        <v/>
      </c>
      <c r="L33" s="34">
        <f>'Working Schedules'!L16</f>
        <v/>
      </c>
      <c r="M33" s="34">
        <f>'Working Schedules'!M16</f>
        <v/>
      </c>
      <c r="N33" s="34">
        <f>'Working Schedules'!N16</f>
        <v/>
      </c>
      <c r="O33" s="34">
        <f>'Working Schedules'!O16</f>
        <v/>
      </c>
    </row>
    <row r="34">
      <c r="B34" s="7" t="inlineStr">
        <is>
          <t xml:space="preserve">   Intangible assets (incl. under dev.)</t>
        </is>
      </c>
      <c r="C34" s="30" t="n">
        <v>2294</v>
      </c>
      <c r="D34" s="30" t="n">
        <v>2692</v>
      </c>
      <c r="E34" s="30" t="n">
        <v>2300</v>
      </c>
      <c r="F34" s="30" t="n">
        <v>1935</v>
      </c>
      <c r="G34" s="30" t="n">
        <v>2206</v>
      </c>
      <c r="H34" s="34">
        <f>'Working Schedules'!H23</f>
        <v/>
      </c>
      <c r="I34" s="34">
        <f>'Working Schedules'!I23</f>
        <v/>
      </c>
      <c r="J34" s="34">
        <f>'Working Schedules'!J23</f>
        <v/>
      </c>
      <c r="K34" s="34">
        <f>'Working Schedules'!K23</f>
        <v/>
      </c>
      <c r="L34" s="34">
        <f>'Working Schedules'!L23</f>
        <v/>
      </c>
      <c r="M34" s="34">
        <f>'Working Schedules'!M23</f>
        <v/>
      </c>
      <c r="N34" s="34">
        <f>'Working Schedules'!N23</f>
        <v/>
      </c>
      <c r="O34" s="34">
        <f>'Working Schedules'!O23</f>
        <v/>
      </c>
    </row>
    <row r="35">
      <c r="B35" s="12" t="inlineStr">
        <is>
          <t>Total fixed assets</t>
        </is>
      </c>
      <c r="C35" s="33">
        <f>SUM(C31:C34)</f>
        <v/>
      </c>
      <c r="D35" s="33">
        <f>SUM(D31:D34)</f>
        <v/>
      </c>
      <c r="E35" s="33">
        <f>SUM(E31:E34)</f>
        <v/>
      </c>
      <c r="F35" s="33">
        <f>SUM(F31:F34)</f>
        <v/>
      </c>
      <c r="G35" s="33">
        <f>SUM(G31:G34)</f>
        <v/>
      </c>
      <c r="H35" s="33">
        <f>SUM(H31:H34)</f>
        <v/>
      </c>
      <c r="I35" s="33">
        <f>SUM(I31:I34)</f>
        <v/>
      </c>
      <c r="J35" s="33">
        <f>SUM(J31:J34)</f>
        <v/>
      </c>
      <c r="K35" s="33">
        <f>SUM(K31:K34)</f>
        <v/>
      </c>
      <c r="L35" s="33">
        <f>SUM(L31:L34)</f>
        <v/>
      </c>
      <c r="M35" s="33">
        <f>SUM(M31:M34)</f>
        <v/>
      </c>
      <c r="N35" s="33">
        <f>SUM(N31:N34)</f>
        <v/>
      </c>
      <c r="O35" s="33">
        <f>SUM(O31:O34)</f>
        <v/>
      </c>
    </row>
    <row r="36">
      <c r="B36" s="7" t="inlineStr">
        <is>
          <t xml:space="preserve">   Other non-current assets</t>
        </is>
      </c>
      <c r="C36" s="30" t="n">
        <v>1289</v>
      </c>
      <c r="D36" s="30" t="n">
        <v>987</v>
      </c>
      <c r="E36" s="30" t="n">
        <v>1200</v>
      </c>
      <c r="F36" s="30" t="n">
        <v>1546</v>
      </c>
      <c r="G36" s="30" t="n">
        <v>2058</v>
      </c>
      <c r="H36" s="34">
        <f>$G$36/PL!$G$5*PL!H5</f>
        <v/>
      </c>
      <c r="I36" s="34">
        <f>$G$36/PL!$G$5*PL!I5</f>
        <v/>
      </c>
      <c r="J36" s="34">
        <f>$G$36/PL!$G$5*PL!J5</f>
        <v/>
      </c>
      <c r="K36" s="34">
        <f>$G$36/PL!$G$5*PL!K5</f>
        <v/>
      </c>
      <c r="L36" s="34">
        <f>$G$36/PL!$G$5*PL!L5</f>
        <v/>
      </c>
      <c r="M36" s="34">
        <f>$G$36/PL!$G$5*PL!M5</f>
        <v/>
      </c>
      <c r="N36" s="34">
        <f>$G$36/PL!$G$5*PL!N5</f>
        <v/>
      </c>
      <c r="O36" s="34">
        <f>$G$36/PL!$G$5*PL!O5</f>
        <v/>
      </c>
    </row>
    <row r="37">
      <c r="B37" s="12" t="inlineStr">
        <is>
          <t>Total non-current assets</t>
        </is>
      </c>
      <c r="C37" s="33">
        <f>C35+C36</f>
        <v/>
      </c>
      <c r="D37" s="33">
        <f>D35+D36</f>
        <v/>
      </c>
      <c r="E37" s="33">
        <f>E35+E36</f>
        <v/>
      </c>
      <c r="F37" s="33">
        <f>F35+F36</f>
        <v/>
      </c>
      <c r="G37" s="33">
        <f>G35+G36</f>
        <v/>
      </c>
      <c r="H37" s="33">
        <f>H35+H36</f>
        <v/>
      </c>
      <c r="I37" s="33">
        <f>I35+I36</f>
        <v/>
      </c>
      <c r="J37" s="33">
        <f>J35+J36</f>
        <v/>
      </c>
      <c r="K37" s="33">
        <f>K35+K36</f>
        <v/>
      </c>
      <c r="L37" s="33">
        <f>L35+L36</f>
        <v/>
      </c>
      <c r="M37" s="33">
        <f>M35+M36</f>
        <v/>
      </c>
      <c r="N37" s="33">
        <f>N35+N36</f>
        <v/>
      </c>
      <c r="O37" s="33">
        <f>O35+O36</f>
        <v/>
      </c>
    </row>
    <row r="39">
      <c r="B39" s="17" t="inlineStr">
        <is>
          <t>Current assets</t>
        </is>
      </c>
    </row>
    <row r="40">
      <c r="B40" s="7" t="inlineStr">
        <is>
          <t xml:space="preserve">   Trade receivables</t>
        </is>
      </c>
      <c r="C40" s="30" t="n">
        <v>0</v>
      </c>
      <c r="D40" s="30" t="n">
        <v>10</v>
      </c>
      <c r="E40" s="30" t="n">
        <v>12</v>
      </c>
      <c r="F40" s="30" t="n">
        <v>16</v>
      </c>
      <c r="G40" s="30" t="n">
        <v>118</v>
      </c>
      <c r="H40" s="34">
        <f>'Working Capital Schedule'!H9</f>
        <v/>
      </c>
      <c r="I40" s="34">
        <f>'Working Capital Schedule'!I9</f>
        <v/>
      </c>
      <c r="J40" s="34">
        <f>'Working Capital Schedule'!J9</f>
        <v/>
      </c>
      <c r="K40" s="34">
        <f>'Working Capital Schedule'!K9</f>
        <v/>
      </c>
      <c r="L40" s="34">
        <f>'Working Capital Schedule'!L9</f>
        <v/>
      </c>
      <c r="M40" s="34">
        <f>'Working Capital Schedule'!M9</f>
        <v/>
      </c>
      <c r="N40" s="34">
        <f>'Working Capital Schedule'!N9</f>
        <v/>
      </c>
      <c r="O40" s="34">
        <f>'Working Capital Schedule'!O9</f>
        <v/>
      </c>
    </row>
    <row r="41">
      <c r="B41" s="7" t="inlineStr">
        <is>
          <t xml:space="preserve">   Inventories</t>
        </is>
      </c>
      <c r="C41" s="30" t="n">
        <v>567</v>
      </c>
      <c r="D41" s="30" t="n">
        <v>607</v>
      </c>
      <c r="E41" s="30" t="n">
        <v>2574</v>
      </c>
      <c r="F41" s="30" t="n">
        <v>1167</v>
      </c>
      <c r="G41" s="30" t="n">
        <v>2446</v>
      </c>
      <c r="H41" s="34">
        <f>'Working Capital Schedule'!H12</f>
        <v/>
      </c>
      <c r="I41" s="34">
        <f>'Working Capital Schedule'!I12</f>
        <v/>
      </c>
      <c r="J41" s="34">
        <f>'Working Capital Schedule'!J12</f>
        <v/>
      </c>
      <c r="K41" s="34">
        <f>'Working Capital Schedule'!K12</f>
        <v/>
      </c>
      <c r="L41" s="34">
        <f>'Working Capital Schedule'!L12</f>
        <v/>
      </c>
      <c r="M41" s="34">
        <f>'Working Capital Schedule'!M12</f>
        <v/>
      </c>
      <c r="N41" s="34">
        <f>'Working Capital Schedule'!N12</f>
        <v/>
      </c>
      <c r="O41" s="34">
        <f>'Working Capital Schedule'!O12</f>
        <v/>
      </c>
    </row>
    <row r="42">
      <c r="B42" s="7" t="inlineStr">
        <is>
          <t xml:space="preserve">   Other current assets</t>
        </is>
      </c>
      <c r="C42" s="30" t="n">
        <v>541</v>
      </c>
      <c r="D42" s="30" t="n">
        <v>1049</v>
      </c>
      <c r="E42" s="30" t="n">
        <v>4819</v>
      </c>
      <c r="F42" s="30" t="n">
        <v>3711</v>
      </c>
      <c r="G42" s="30" t="n">
        <v>4890</v>
      </c>
      <c r="H42" s="34">
        <f>Assumptions!H53*PL!H5</f>
        <v/>
      </c>
      <c r="I42" s="34">
        <f>Assumptions!I53*PL!I5</f>
        <v/>
      </c>
      <c r="J42" s="34">
        <f>Assumptions!J53*PL!J5</f>
        <v/>
      </c>
      <c r="K42" s="34">
        <f>Assumptions!K53*PL!K5</f>
        <v/>
      </c>
      <c r="L42" s="34">
        <f>Assumptions!L53*PL!L5</f>
        <v/>
      </c>
      <c r="M42" s="34">
        <f>Assumptions!M53*PL!M5</f>
        <v/>
      </c>
      <c r="N42" s="34">
        <f>Assumptions!N53*PL!N5</f>
        <v/>
      </c>
      <c r="O42" s="34">
        <f>Assumptions!O53*PL!O5</f>
        <v/>
      </c>
    </row>
    <row r="43">
      <c r="B43" s="7" t="inlineStr">
        <is>
          <t xml:space="preserve">   Cash, bank &amp; current investments</t>
        </is>
      </c>
      <c r="C43" s="30" t="n">
        <v>1477</v>
      </c>
      <c r="D43" s="30" t="n">
        <v>1260</v>
      </c>
      <c r="E43" s="30" t="n">
        <v>3726</v>
      </c>
      <c r="F43" s="30" t="n">
        <v>7400</v>
      </c>
      <c r="G43" s="30" t="n">
        <v>4114</v>
      </c>
      <c r="H43" s="34">
        <f>CS!H30</f>
        <v/>
      </c>
      <c r="I43" s="34">
        <f>CS!I30</f>
        <v/>
      </c>
      <c r="J43" s="34">
        <f>CS!J30</f>
        <v/>
      </c>
      <c r="K43" s="34">
        <f>CS!K30</f>
        <v/>
      </c>
      <c r="L43" s="34">
        <f>CS!L30</f>
        <v/>
      </c>
      <c r="M43" s="34">
        <f>CS!M30</f>
        <v/>
      </c>
      <c r="N43" s="34">
        <f>CS!N30</f>
        <v/>
      </c>
      <c r="O43" s="34">
        <f>CS!O30</f>
        <v/>
      </c>
    </row>
    <row r="44">
      <c r="B44" s="12" t="inlineStr">
        <is>
          <t>Total current assets</t>
        </is>
      </c>
      <c r="C44" s="33">
        <f>SUM(C40:C43)</f>
        <v/>
      </c>
      <c r="D44" s="33">
        <f>SUM(D40:D43)</f>
        <v/>
      </c>
      <c r="E44" s="33">
        <f>SUM(E40:E43)</f>
        <v/>
      </c>
      <c r="F44" s="33">
        <f>SUM(F40:F43)</f>
        <v/>
      </c>
      <c r="G44" s="33">
        <f>SUM(G40:G43)</f>
        <v/>
      </c>
      <c r="H44" s="33">
        <f>SUM(H40:H43)</f>
        <v/>
      </c>
      <c r="I44" s="33">
        <f>SUM(I40:I43)</f>
        <v/>
      </c>
      <c r="J44" s="33">
        <f>SUM(J40:J43)</f>
        <v/>
      </c>
      <c r="K44" s="33">
        <f>SUM(K40:K43)</f>
        <v/>
      </c>
      <c r="L44" s="33">
        <f>SUM(L40:L43)</f>
        <v/>
      </c>
      <c r="M44" s="33">
        <f>SUM(M40:M43)</f>
        <v/>
      </c>
      <c r="N44" s="33">
        <f>SUM(N40:N43)</f>
        <v/>
      </c>
      <c r="O44" s="33">
        <f>SUM(O40:O43)</f>
        <v/>
      </c>
    </row>
    <row r="46">
      <c r="B46" s="35" t="inlineStr">
        <is>
          <t>TOTAL ASSETS</t>
        </is>
      </c>
      <c r="C46" s="36">
        <f>C37+C44</f>
        <v/>
      </c>
      <c r="D46" s="36">
        <f>D37+D44</f>
        <v/>
      </c>
      <c r="E46" s="36">
        <f>E37+E44</f>
        <v/>
      </c>
      <c r="F46" s="36">
        <f>F37+F44</f>
        <v/>
      </c>
      <c r="G46" s="36">
        <f>G37+G44</f>
        <v/>
      </c>
      <c r="H46" s="36">
        <f>H37+H44</f>
        <v/>
      </c>
      <c r="I46" s="36">
        <f>I37+I44</f>
        <v/>
      </c>
      <c r="J46" s="36">
        <f>J37+J44</f>
        <v/>
      </c>
      <c r="K46" s="36">
        <f>K37+K44</f>
        <v/>
      </c>
      <c r="L46" s="36">
        <f>L37+L44</f>
        <v/>
      </c>
      <c r="M46" s="36">
        <f>M37+M44</f>
        <v/>
      </c>
      <c r="N46" s="36">
        <f>N37+N44</f>
        <v/>
      </c>
      <c r="O46" s="36">
        <f>O37+O44</f>
        <v/>
      </c>
    </row>
    <row r="48">
      <c r="B48" s="3" t="inlineStr">
        <is>
          <t>Balance check (Assets − Equity &amp; Liab.)</t>
        </is>
      </c>
      <c r="C48" s="40">
        <f>C46-C27</f>
        <v/>
      </c>
      <c r="D48" s="40">
        <f>D46-D27</f>
        <v/>
      </c>
      <c r="E48" s="40">
        <f>E46-E27</f>
        <v/>
      </c>
      <c r="F48" s="40">
        <f>F46-F27</f>
        <v/>
      </c>
      <c r="G48" s="40">
        <f>G46-G27</f>
        <v/>
      </c>
      <c r="H48" s="40">
        <f>H46-H27</f>
        <v/>
      </c>
      <c r="I48" s="40">
        <f>I46-I27</f>
        <v/>
      </c>
      <c r="J48" s="40">
        <f>J46-J27</f>
        <v/>
      </c>
      <c r="K48" s="40">
        <f>K46-K27</f>
        <v/>
      </c>
      <c r="L48" s="40">
        <f>L46-L27</f>
        <v/>
      </c>
      <c r="M48" s="40">
        <f>M46-M27</f>
        <v/>
      </c>
      <c r="N48" s="40">
        <f>N46-N27</f>
        <v/>
      </c>
      <c r="O48" s="40">
        <f>O46-O27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B2:O30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Cash Flow Statement (INR millions)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5">
      <c r="B5" s="17" t="inlineStr">
        <is>
          <t>A. Operating activities</t>
        </is>
      </c>
    </row>
    <row r="6">
      <c r="B6" s="12" t="inlineStr">
        <is>
          <t>Profit / (Loss) after tax</t>
        </is>
      </c>
      <c r="C6" s="38" t="n">
        <v>-2333</v>
      </c>
      <c r="D6" s="38" t="n">
        <v>-3441</v>
      </c>
      <c r="E6" s="38" t="n">
        <v>-8645</v>
      </c>
      <c r="F6" s="38" t="n">
        <v>-10597</v>
      </c>
      <c r="G6" s="38" t="n">
        <v>-8123</v>
      </c>
      <c r="H6" s="8">
        <f>PL!H22</f>
        <v/>
      </c>
      <c r="I6" s="8">
        <f>PL!I22</f>
        <v/>
      </c>
      <c r="J6" s="8">
        <f>PL!J22</f>
        <v/>
      </c>
      <c r="K6" s="8">
        <f>PL!K22</f>
        <v/>
      </c>
      <c r="L6" s="8">
        <f>PL!L22</f>
        <v/>
      </c>
      <c r="M6" s="8">
        <f>PL!M22</f>
        <v/>
      </c>
      <c r="N6" s="8">
        <f>PL!N22</f>
        <v/>
      </c>
      <c r="O6" s="8">
        <f>PL!O22</f>
        <v/>
      </c>
    </row>
    <row r="7">
      <c r="B7" s="7" t="inlineStr">
        <is>
          <t>Add: Depreciation &amp; amortisation</t>
        </is>
      </c>
      <c r="C7" s="30" t="n">
        <v>351</v>
      </c>
      <c r="D7" s="30" t="n">
        <v>484</v>
      </c>
      <c r="E7" s="30" t="n">
        <v>1128</v>
      </c>
      <c r="F7" s="30" t="n">
        <v>1467</v>
      </c>
      <c r="G7" s="30" t="n">
        <v>1710</v>
      </c>
      <c r="H7" s="34">
        <f>-PL!H13</f>
        <v/>
      </c>
      <c r="I7" s="34">
        <f>-PL!I13</f>
        <v/>
      </c>
      <c r="J7" s="34">
        <f>-PL!J13</f>
        <v/>
      </c>
      <c r="K7" s="34">
        <f>-PL!K13</f>
        <v/>
      </c>
      <c r="L7" s="34">
        <f>-PL!L13</f>
        <v/>
      </c>
      <c r="M7" s="34">
        <f>-PL!M13</f>
        <v/>
      </c>
      <c r="N7" s="34">
        <f>-PL!N13</f>
        <v/>
      </c>
      <c r="O7" s="34">
        <f>-PL!O13</f>
        <v/>
      </c>
    </row>
    <row r="8">
      <c r="B8" s="7" t="inlineStr">
        <is>
          <t>Add: Finance costs</t>
        </is>
      </c>
      <c r="C8" s="30" t="n">
        <v>276</v>
      </c>
      <c r="D8" s="30" t="n">
        <v>398</v>
      </c>
      <c r="E8" s="30" t="n">
        <v>700</v>
      </c>
      <c r="F8" s="30" t="n">
        <v>890</v>
      </c>
      <c r="G8" s="30" t="n">
        <v>1106</v>
      </c>
      <c r="H8" s="34">
        <f>-PL!H17</f>
        <v/>
      </c>
      <c r="I8" s="34">
        <f>-PL!I17</f>
        <v/>
      </c>
      <c r="J8" s="34">
        <f>-PL!J17</f>
        <v/>
      </c>
      <c r="K8" s="34">
        <f>-PL!K17</f>
        <v/>
      </c>
      <c r="L8" s="34">
        <f>-PL!L17</f>
        <v/>
      </c>
      <c r="M8" s="34">
        <f>-PL!M17</f>
        <v/>
      </c>
      <c r="N8" s="34">
        <f>-PL!N17</f>
        <v/>
      </c>
      <c r="O8" s="34">
        <f>-PL!O17</f>
        <v/>
      </c>
    </row>
    <row r="9">
      <c r="B9" s="7" t="inlineStr">
        <is>
          <t>Less: Interest income</t>
        </is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4">
        <f>-PL!H18</f>
        <v/>
      </c>
      <c r="I9" s="34">
        <f>-PL!I18</f>
        <v/>
      </c>
      <c r="J9" s="34">
        <f>-PL!J18</f>
        <v/>
      </c>
      <c r="K9" s="34">
        <f>-PL!K18</f>
        <v/>
      </c>
      <c r="L9" s="34">
        <f>-PL!L18</f>
        <v/>
      </c>
      <c r="M9" s="34">
        <f>-PL!M18</f>
        <v/>
      </c>
      <c r="N9" s="34">
        <f>-PL!N18</f>
        <v/>
      </c>
      <c r="O9" s="34">
        <f>-PL!O18</f>
        <v/>
      </c>
    </row>
    <row r="10">
      <c r="B10" s="7" t="inlineStr">
        <is>
          <t>Add: Non-cash items (ESOP/share-based pay)</t>
        </is>
      </c>
      <c r="C10" s="30" t="n">
        <v>227</v>
      </c>
      <c r="D10" s="30" t="n">
        <v>359</v>
      </c>
      <c r="E10" s="30" t="n">
        <v>520</v>
      </c>
      <c r="F10" s="30" t="n">
        <v>500</v>
      </c>
      <c r="G10" s="30" t="n">
        <v>640</v>
      </c>
      <c r="H10" s="34">
        <f>(-PL!H9)*Assumptions!H29</f>
        <v/>
      </c>
      <c r="I10" s="34">
        <f>(-PL!I9)*Assumptions!I29</f>
        <v/>
      </c>
      <c r="J10" s="34">
        <f>(-PL!J9)*Assumptions!J29</f>
        <v/>
      </c>
      <c r="K10" s="34">
        <f>(-PL!K9)*Assumptions!K29</f>
        <v/>
      </c>
      <c r="L10" s="34">
        <f>(-PL!L9)*Assumptions!L29</f>
        <v/>
      </c>
      <c r="M10" s="34">
        <f>(-PL!M9)*Assumptions!M29</f>
        <v/>
      </c>
      <c r="N10" s="34">
        <f>(-PL!N9)*Assumptions!N29</f>
        <v/>
      </c>
      <c r="O10" s="34">
        <f>(-PL!O9)*Assumptions!O29</f>
        <v/>
      </c>
    </row>
    <row r="11">
      <c r="B11" s="7" t="inlineStr">
        <is>
          <t>Change in net working capital</t>
        </is>
      </c>
      <c r="C11" s="30" t="n">
        <v>138</v>
      </c>
      <c r="D11" s="30" t="n">
        <v>-260</v>
      </c>
      <c r="E11" s="30" t="n">
        <v>-1500</v>
      </c>
      <c r="F11" s="30" t="n">
        <v>1407</v>
      </c>
      <c r="G11" s="30" t="n">
        <v>-1278</v>
      </c>
      <c r="H11" s="34">
        <f>-'Working Capital Schedule'!H21</f>
        <v/>
      </c>
      <c r="I11" s="34">
        <f>-'Working Capital Schedule'!I21</f>
        <v/>
      </c>
      <c r="J11" s="34">
        <f>-'Working Capital Schedule'!J21</f>
        <v/>
      </c>
      <c r="K11" s="34">
        <f>-'Working Capital Schedule'!K21</f>
        <v/>
      </c>
      <c r="L11" s="34">
        <f>-'Working Capital Schedule'!L21</f>
        <v/>
      </c>
      <c r="M11" s="34">
        <f>-'Working Capital Schedule'!M21</f>
        <v/>
      </c>
      <c r="N11" s="34">
        <f>-'Working Capital Schedule'!N21</f>
        <v/>
      </c>
      <c r="O11" s="34">
        <f>-'Working Capital Schedule'!O21</f>
        <v/>
      </c>
    </row>
    <row r="12">
      <c r="B12" s="7" t="inlineStr">
        <is>
          <t>Change in other non-current items</t>
        </is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4">
        <f>(BS!H15+BS!H16-BS!G15-BS!G16)-(BS!H36-BS!G36)</f>
        <v/>
      </c>
      <c r="I12" s="34">
        <f>(BS!I15+BS!I16-BS!H15-BS!H16)-(BS!I36-BS!H36)</f>
        <v/>
      </c>
      <c r="J12" s="34">
        <f>(BS!J15+BS!J16-BS!I15-BS!I16)-(BS!J36-BS!I36)</f>
        <v/>
      </c>
      <c r="K12" s="34">
        <f>(BS!K15+BS!K16-BS!J15-BS!J16)-(BS!K36-BS!J36)</f>
        <v/>
      </c>
      <c r="L12" s="34">
        <f>(BS!L15+BS!L16-BS!K15-BS!K16)-(BS!L36-BS!K36)</f>
        <v/>
      </c>
      <c r="M12" s="34">
        <f>(BS!M15+BS!M16-BS!L15-BS!L16)-(BS!M36-BS!L36)</f>
        <v/>
      </c>
      <c r="N12" s="34">
        <f>(BS!N15+BS!N16-BS!M15-BS!M16)-(BS!N36-BS!M36)</f>
        <v/>
      </c>
      <c r="O12" s="34">
        <f>(BS!O15+BS!O16-BS!N15-BS!N16)-(BS!O36-BS!N36)</f>
        <v/>
      </c>
    </row>
    <row r="13">
      <c r="B13" s="35" t="inlineStr">
        <is>
          <t>Cash flow from operating activities</t>
        </is>
      </c>
      <c r="C13" s="36">
        <f>SUM(C6:C12)</f>
        <v/>
      </c>
      <c r="D13" s="36">
        <f>SUM(D6:D12)</f>
        <v/>
      </c>
      <c r="E13" s="36">
        <f>SUM(E6:E12)</f>
        <v/>
      </c>
      <c r="F13" s="36">
        <f>SUM(F6:F12)</f>
        <v/>
      </c>
      <c r="G13" s="36">
        <f>SUM(G6:G12)</f>
        <v/>
      </c>
      <c r="H13" s="36">
        <f>SUM(H6:H12)</f>
        <v/>
      </c>
      <c r="I13" s="36">
        <f>SUM(I6:I12)</f>
        <v/>
      </c>
      <c r="J13" s="36">
        <f>SUM(J6:J12)</f>
        <v/>
      </c>
      <c r="K13" s="36">
        <f>SUM(K6:K12)</f>
        <v/>
      </c>
      <c r="L13" s="36">
        <f>SUM(L6:L12)</f>
        <v/>
      </c>
      <c r="M13" s="36">
        <f>SUM(M6:M12)</f>
        <v/>
      </c>
      <c r="N13" s="36">
        <f>SUM(N6:N12)</f>
        <v/>
      </c>
      <c r="O13" s="36">
        <f>SUM(O6:O12)</f>
        <v/>
      </c>
    </row>
    <row r="14">
      <c r="B14" s="17" t="inlineStr">
        <is>
          <t>B. Investing activities</t>
        </is>
      </c>
    </row>
    <row r="15">
      <c r="B15" s="7" t="inlineStr">
        <is>
          <t>Interest income received</t>
        </is>
      </c>
      <c r="C15" s="30" t="n">
        <v>33</v>
      </c>
      <c r="D15" s="30" t="n">
        <v>18</v>
      </c>
      <c r="E15" s="30" t="n">
        <v>40</v>
      </c>
      <c r="F15" s="30" t="n">
        <v>196</v>
      </c>
      <c r="G15" s="30" t="n">
        <v>190</v>
      </c>
      <c r="H15" s="34">
        <f>PL!H18</f>
        <v/>
      </c>
      <c r="I15" s="34">
        <f>PL!I18</f>
        <v/>
      </c>
      <c r="J15" s="34">
        <f>PL!J18</f>
        <v/>
      </c>
      <c r="K15" s="34">
        <f>PL!K18</f>
        <v/>
      </c>
      <c r="L15" s="34">
        <f>PL!L18</f>
        <v/>
      </c>
      <c r="M15" s="34">
        <f>PL!M18</f>
        <v/>
      </c>
      <c r="N15" s="34">
        <f>PL!N18</f>
        <v/>
      </c>
      <c r="O15" s="34">
        <f>PL!O18</f>
        <v/>
      </c>
    </row>
    <row r="16">
      <c r="B16" s="7" t="inlineStr">
        <is>
          <t>Capex — PPE &amp; CWIP</t>
        </is>
      </c>
      <c r="C16" s="30" t="n">
        <v>-700</v>
      </c>
      <c r="D16" s="30" t="n">
        <v>-560</v>
      </c>
      <c r="E16" s="30" t="n">
        <v>-900</v>
      </c>
      <c r="F16" s="30" t="n">
        <v>-900</v>
      </c>
      <c r="G16" s="30" t="n">
        <v>-2600</v>
      </c>
      <c r="H16" s="34">
        <f>-'Working Schedules'!H7</f>
        <v/>
      </c>
      <c r="I16" s="34">
        <f>-'Working Schedules'!I7</f>
        <v/>
      </c>
      <c r="J16" s="34">
        <f>-'Working Schedules'!J7</f>
        <v/>
      </c>
      <c r="K16" s="34">
        <f>-'Working Schedules'!K7</f>
        <v/>
      </c>
      <c r="L16" s="34">
        <f>-'Working Schedules'!L7</f>
        <v/>
      </c>
      <c r="M16" s="34">
        <f>-'Working Schedules'!M7</f>
        <v/>
      </c>
      <c r="N16" s="34">
        <f>-'Working Schedules'!N7</f>
        <v/>
      </c>
      <c r="O16" s="34">
        <f>-'Working Schedules'!O7</f>
        <v/>
      </c>
    </row>
    <row r="17">
      <c r="B17" s="7" t="inlineStr">
        <is>
          <t>Capex — intangibles / development</t>
        </is>
      </c>
      <c r="C17" s="30" t="n">
        <v>-170</v>
      </c>
      <c r="D17" s="30" t="n">
        <v>-152</v>
      </c>
      <c r="E17" s="30" t="n">
        <v>-300</v>
      </c>
      <c r="F17" s="30" t="n">
        <v>-259</v>
      </c>
      <c r="G17" s="30" t="n">
        <v>-790</v>
      </c>
      <c r="H17" s="34">
        <f>-'Working Schedules'!H21</f>
        <v/>
      </c>
      <c r="I17" s="34">
        <f>-'Working Schedules'!I21</f>
        <v/>
      </c>
      <c r="J17" s="34">
        <f>-'Working Schedules'!J21</f>
        <v/>
      </c>
      <c r="K17" s="34">
        <f>-'Working Schedules'!K21</f>
        <v/>
      </c>
      <c r="L17" s="34">
        <f>-'Working Schedules'!L21</f>
        <v/>
      </c>
      <c r="M17" s="34">
        <f>-'Working Schedules'!M21</f>
        <v/>
      </c>
      <c r="N17" s="34">
        <f>-'Working Schedules'!N21</f>
        <v/>
      </c>
      <c r="O17" s="34">
        <f>-'Working Schedules'!O21</f>
        <v/>
      </c>
    </row>
    <row r="18">
      <c r="B18" s="7" t="inlineStr">
        <is>
          <t>Other investing (deposits/investments, net)</t>
        </is>
      </c>
      <c r="C18" s="30" t="n">
        <v>-590</v>
      </c>
      <c r="D18" s="30" t="n">
        <v>638</v>
      </c>
      <c r="E18" s="30" t="n">
        <v>-1900</v>
      </c>
      <c r="F18" s="30" t="n">
        <v>-1318</v>
      </c>
      <c r="G18" s="30" t="n">
        <v>-582</v>
      </c>
      <c r="H18" s="39" t="inlineStr">
        <is>
          <t>0</t>
        </is>
      </c>
      <c r="I18" s="39" t="inlineStr">
        <is>
          <t>0</t>
        </is>
      </c>
      <c r="J18" s="39" t="inlineStr">
        <is>
          <t>0</t>
        </is>
      </c>
      <c r="K18" s="39" t="inlineStr">
        <is>
          <t>0</t>
        </is>
      </c>
      <c r="L18" s="39" t="inlineStr">
        <is>
          <t>0</t>
        </is>
      </c>
      <c r="M18" s="39" t="inlineStr">
        <is>
          <t>0</t>
        </is>
      </c>
      <c r="N18" s="39" t="inlineStr">
        <is>
          <t>0</t>
        </is>
      </c>
      <c r="O18" s="39" t="inlineStr">
        <is>
          <t>0</t>
        </is>
      </c>
    </row>
    <row r="19">
      <c r="B19" s="35" t="inlineStr">
        <is>
          <t>Cash flow from investing activities</t>
        </is>
      </c>
      <c r="C19" s="36">
        <f>SUM(C15:C18)</f>
        <v/>
      </c>
      <c r="D19" s="36">
        <f>SUM(D15:D18)</f>
        <v/>
      </c>
      <c r="E19" s="36">
        <f>SUM(E15:E18)</f>
        <v/>
      </c>
      <c r="F19" s="36">
        <f>SUM(F15:F18)</f>
        <v/>
      </c>
      <c r="G19" s="36">
        <f>SUM(G15:G18)</f>
        <v/>
      </c>
      <c r="H19" s="36">
        <f>SUM(H15:H18)</f>
        <v/>
      </c>
      <c r="I19" s="36">
        <f>SUM(I15:I18)</f>
        <v/>
      </c>
      <c r="J19" s="36">
        <f>SUM(J15:J18)</f>
        <v/>
      </c>
      <c r="K19" s="36">
        <f>SUM(K15:K18)</f>
        <v/>
      </c>
      <c r="L19" s="36">
        <f>SUM(L15:L18)</f>
        <v/>
      </c>
      <c r="M19" s="36">
        <f>SUM(M15:M18)</f>
        <v/>
      </c>
      <c r="N19" s="36">
        <f>SUM(N15:N18)</f>
        <v/>
      </c>
      <c r="O19" s="36">
        <f>SUM(O15:O18)</f>
        <v/>
      </c>
    </row>
    <row r="20">
      <c r="B20" s="17" t="inlineStr">
        <is>
          <t>C. Financing activities</t>
        </is>
      </c>
    </row>
    <row r="21">
      <c r="B21" s="7" t="inlineStr">
        <is>
          <t>Proceeds / (repayment) of borrowings, net</t>
        </is>
      </c>
      <c r="C21" s="30" t="n">
        <v>-98</v>
      </c>
      <c r="D21" s="30" t="n">
        <v>1268</v>
      </c>
      <c r="E21" s="30" t="n">
        <v>452</v>
      </c>
      <c r="F21" s="30" t="n">
        <v>-541</v>
      </c>
      <c r="G21" s="30" t="n">
        <v>3247</v>
      </c>
      <c r="H21" s="34">
        <f>'Working Schedules'!H38</f>
        <v/>
      </c>
      <c r="I21" s="34">
        <f>'Working Schedules'!I38</f>
        <v/>
      </c>
      <c r="J21" s="34">
        <f>'Working Schedules'!J38</f>
        <v/>
      </c>
      <c r="K21" s="34">
        <f>'Working Schedules'!K38</f>
        <v/>
      </c>
      <c r="L21" s="34">
        <f>'Working Schedules'!L38</f>
        <v/>
      </c>
      <c r="M21" s="34">
        <f>'Working Schedules'!M38</f>
        <v/>
      </c>
      <c r="N21" s="34">
        <f>'Working Schedules'!N38</f>
        <v/>
      </c>
      <c r="O21" s="34">
        <f>'Working Schedules'!O38</f>
        <v/>
      </c>
    </row>
    <row r="22">
      <c r="B22" s="7" t="inlineStr">
        <is>
          <t>Lease principal repayment</t>
        </is>
      </c>
      <c r="C22" s="30" t="n">
        <v>-100</v>
      </c>
      <c r="D22" s="30" t="n">
        <v>-152</v>
      </c>
      <c r="E22" s="30" t="n">
        <v>-180</v>
      </c>
      <c r="F22" s="30" t="n">
        <v>-168</v>
      </c>
      <c r="G22" s="30" t="n">
        <v>-211</v>
      </c>
      <c r="H22" s="34">
        <f>'Working Schedules'!H46</f>
        <v/>
      </c>
      <c r="I22" s="34">
        <f>'Working Schedules'!I46</f>
        <v/>
      </c>
      <c r="J22" s="34">
        <f>'Working Schedules'!J46</f>
        <v/>
      </c>
      <c r="K22" s="34">
        <f>'Working Schedules'!K46</f>
        <v/>
      </c>
      <c r="L22" s="34">
        <f>'Working Schedules'!L46</f>
        <v/>
      </c>
      <c r="M22" s="34">
        <f>'Working Schedules'!M46</f>
        <v/>
      </c>
      <c r="N22" s="34">
        <f>'Working Schedules'!N46</f>
        <v/>
      </c>
      <c r="O22" s="34">
        <f>'Working Schedules'!O46</f>
        <v/>
      </c>
    </row>
    <row r="23">
      <c r="B23" s="7" t="inlineStr">
        <is>
          <t>Finance costs paid</t>
        </is>
      </c>
      <c r="C23" s="30" t="n">
        <v>-276</v>
      </c>
      <c r="D23" s="30" t="n">
        <v>-341</v>
      </c>
      <c r="E23" s="30" t="n">
        <v>-700</v>
      </c>
      <c r="F23" s="30" t="n">
        <v>-770</v>
      </c>
      <c r="G23" s="30" t="n">
        <v>-973</v>
      </c>
      <c r="H23" s="34">
        <f>PL!H17</f>
        <v/>
      </c>
      <c r="I23" s="34">
        <f>PL!I17</f>
        <v/>
      </c>
      <c r="J23" s="34">
        <f>PL!J17</f>
        <v/>
      </c>
      <c r="K23" s="34">
        <f>PL!K17</f>
        <v/>
      </c>
      <c r="L23" s="34">
        <f>PL!L17</f>
        <v/>
      </c>
      <c r="M23" s="34">
        <f>PL!M17</f>
        <v/>
      </c>
      <c r="N23" s="34">
        <f>PL!N17</f>
        <v/>
      </c>
      <c r="O23" s="34">
        <f>PL!O17</f>
        <v/>
      </c>
    </row>
    <row r="24">
      <c r="B24" s="7" t="inlineStr">
        <is>
          <t>Equity issuance (IPO / fund raises)</t>
        </is>
      </c>
      <c r="C24" s="30" t="n">
        <v>3439</v>
      </c>
      <c r="D24" s="30" t="n">
        <v>1500</v>
      </c>
      <c r="E24" s="30" t="n">
        <v>9000</v>
      </c>
      <c r="F24" s="30" t="n">
        <v>9011</v>
      </c>
      <c r="G24" s="30" t="n">
        <v>866</v>
      </c>
      <c r="H24" s="34">
        <f>Assumptions!H45</f>
        <v/>
      </c>
      <c r="I24" s="34">
        <f>Assumptions!I45</f>
        <v/>
      </c>
      <c r="J24" s="34">
        <f>Assumptions!J45</f>
        <v/>
      </c>
      <c r="K24" s="34">
        <f>Assumptions!K45</f>
        <v/>
      </c>
      <c r="L24" s="34">
        <f>Assumptions!L45</f>
        <v/>
      </c>
      <c r="M24" s="34">
        <f>Assumptions!M45</f>
        <v/>
      </c>
      <c r="N24" s="34">
        <f>Assumptions!N45</f>
        <v/>
      </c>
      <c r="O24" s="34">
        <f>Assumptions!O45</f>
        <v/>
      </c>
    </row>
    <row r="25">
      <c r="B25" s="7" t="inlineStr">
        <is>
          <t>Dividends paid</t>
        </is>
      </c>
      <c r="C25" s="30" t="n">
        <v>0</v>
      </c>
      <c r="D25" s="30" t="n">
        <v>0</v>
      </c>
      <c r="E25" s="30" t="n">
        <v>0</v>
      </c>
      <c r="F25" s="30" t="n">
        <v>0</v>
      </c>
      <c r="G25" s="30" t="n">
        <v>0</v>
      </c>
      <c r="H25" s="34">
        <f>-Assumptions!H46*MAX(PL!H22,0)</f>
        <v/>
      </c>
      <c r="I25" s="34">
        <f>-Assumptions!I46*MAX(PL!I22,0)</f>
        <v/>
      </c>
      <c r="J25" s="34">
        <f>-Assumptions!J46*MAX(PL!J22,0)</f>
        <v/>
      </c>
      <c r="K25" s="34">
        <f>-Assumptions!K46*MAX(PL!K22,0)</f>
        <v/>
      </c>
      <c r="L25" s="34">
        <f>-Assumptions!L46*MAX(PL!L22,0)</f>
        <v/>
      </c>
      <c r="M25" s="34">
        <f>-Assumptions!M46*MAX(PL!M22,0)</f>
        <v/>
      </c>
      <c r="N25" s="34">
        <f>-Assumptions!N46*MAX(PL!N22,0)</f>
        <v/>
      </c>
      <c r="O25" s="34">
        <f>-Assumptions!O46*MAX(PL!O22,0)</f>
        <v/>
      </c>
    </row>
    <row r="26">
      <c r="B26" s="35" t="inlineStr">
        <is>
          <t>Cash flow from financing activities</t>
        </is>
      </c>
      <c r="C26" s="36">
        <f>SUM(C21:C25)</f>
        <v/>
      </c>
      <c r="D26" s="36">
        <f>SUM(D21:D25)</f>
        <v/>
      </c>
      <c r="E26" s="36">
        <f>SUM(E21:E25)</f>
        <v/>
      </c>
      <c r="F26" s="36">
        <f>SUM(F21:F25)</f>
        <v/>
      </c>
      <c r="G26" s="36">
        <f>SUM(G21:G25)</f>
        <v/>
      </c>
      <c r="H26" s="36">
        <f>SUM(H21:H25)</f>
        <v/>
      </c>
      <c r="I26" s="36">
        <f>SUM(I21:I25)</f>
        <v/>
      </c>
      <c r="J26" s="36">
        <f>SUM(J21:J25)</f>
        <v/>
      </c>
      <c r="K26" s="36">
        <f>SUM(K21:K25)</f>
        <v/>
      </c>
      <c r="L26" s="36">
        <f>SUM(L21:L25)</f>
        <v/>
      </c>
      <c r="M26" s="36">
        <f>SUM(M21:M25)</f>
        <v/>
      </c>
      <c r="N26" s="36">
        <f>SUM(N21:N25)</f>
        <v/>
      </c>
      <c r="O26" s="36">
        <f>SUM(O21:O25)</f>
        <v/>
      </c>
    </row>
    <row r="28">
      <c r="B28" s="12" t="inlineStr">
        <is>
          <t>Net change in cash &amp; investments</t>
        </is>
      </c>
      <c r="C28" s="33">
        <f>C30-C29</f>
        <v/>
      </c>
      <c r="D28" s="33">
        <f>D30-D29</f>
        <v/>
      </c>
      <c r="E28" s="33">
        <f>E30-E29</f>
        <v/>
      </c>
      <c r="F28" s="33">
        <f>F30-F29</f>
        <v/>
      </c>
      <c r="G28" s="33">
        <f>G30-G29</f>
        <v/>
      </c>
      <c r="H28" s="33">
        <f>H13+H19+H26</f>
        <v/>
      </c>
      <c r="I28" s="33">
        <f>I13+I19+I26</f>
        <v/>
      </c>
      <c r="J28" s="33">
        <f>J13+J19+J26</f>
        <v/>
      </c>
      <c r="K28" s="33">
        <f>K13+K19+K26</f>
        <v/>
      </c>
      <c r="L28" s="33">
        <f>L13+L19+L26</f>
        <v/>
      </c>
      <c r="M28" s="33">
        <f>M13+M19+M26</f>
        <v/>
      </c>
      <c r="N28" s="33">
        <f>N13+N19+N26</f>
        <v/>
      </c>
      <c r="O28" s="33">
        <f>O13+O19+O26</f>
        <v/>
      </c>
    </row>
    <row r="29">
      <c r="B29" s="7" t="inlineStr">
        <is>
          <t>Opening cash &amp; investments</t>
        </is>
      </c>
      <c r="C29" s="30" t="n">
        <v>1343</v>
      </c>
      <c r="D29" s="30" t="n">
        <v>1477</v>
      </c>
      <c r="E29" s="30" t="n">
        <v>1260</v>
      </c>
      <c r="F29" s="30" t="n">
        <v>3726</v>
      </c>
      <c r="G29" s="30" t="n">
        <v>7400</v>
      </c>
      <c r="H29" s="34">
        <f>G30</f>
        <v/>
      </c>
      <c r="I29" s="34">
        <f>H30</f>
        <v/>
      </c>
      <c r="J29" s="34">
        <f>I30</f>
        <v/>
      </c>
      <c r="K29" s="34">
        <f>J30</f>
        <v/>
      </c>
      <c r="L29" s="34">
        <f>K30</f>
        <v/>
      </c>
      <c r="M29" s="34">
        <f>L30</f>
        <v/>
      </c>
      <c r="N29" s="34">
        <f>M30</f>
        <v/>
      </c>
      <c r="O29" s="34">
        <f>N30</f>
        <v/>
      </c>
    </row>
    <row r="30">
      <c r="B30" s="35" t="inlineStr">
        <is>
          <t>Closing cash &amp; investments</t>
        </is>
      </c>
      <c r="C30" s="41" t="n">
        <v>1477</v>
      </c>
      <c r="D30" s="41" t="n">
        <v>1260</v>
      </c>
      <c r="E30" s="41" t="n">
        <v>3726</v>
      </c>
      <c r="F30" s="41" t="n">
        <v>7400</v>
      </c>
      <c r="G30" s="41" t="n">
        <v>4114</v>
      </c>
      <c r="H30" s="36">
        <f>H28+H29</f>
        <v/>
      </c>
      <c r="I30" s="36">
        <f>I28+I29</f>
        <v/>
      </c>
      <c r="J30" s="36">
        <f>J28+J29</f>
        <v/>
      </c>
      <c r="K30" s="36">
        <f>K28+K29</f>
        <v/>
      </c>
      <c r="L30" s="36">
        <f>L28+L29</f>
        <v/>
      </c>
      <c r="M30" s="36">
        <f>M28+M29</f>
        <v/>
      </c>
      <c r="N30" s="36">
        <f>N28+N29</f>
        <v/>
      </c>
      <c r="O30" s="36">
        <f>O28+O29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B2:O21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Working Capital Schedule (INR millions)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6">
      <c r="B6" s="7" t="inlineStr">
        <is>
          <t>Revenue</t>
        </is>
      </c>
      <c r="C6" s="34">
        <f>PL!C5</f>
        <v/>
      </c>
      <c r="D6" s="34">
        <f>PL!D5</f>
        <v/>
      </c>
      <c r="E6" s="34">
        <f>PL!E5</f>
        <v/>
      </c>
      <c r="F6" s="34">
        <f>PL!F5</f>
        <v/>
      </c>
      <c r="G6" s="34">
        <f>PL!G5</f>
        <v/>
      </c>
      <c r="H6" s="34">
        <f>PL!H5</f>
        <v/>
      </c>
      <c r="I6" s="34">
        <f>PL!I5</f>
        <v/>
      </c>
      <c r="J6" s="34">
        <f>PL!J5</f>
        <v/>
      </c>
      <c r="K6" s="34">
        <f>PL!K5</f>
        <v/>
      </c>
      <c r="L6" s="34">
        <f>PL!L5</f>
        <v/>
      </c>
      <c r="M6" s="34">
        <f>PL!M5</f>
        <v/>
      </c>
      <c r="N6" s="34">
        <f>PL!N5</f>
        <v/>
      </c>
      <c r="O6" s="34">
        <f>PL!O5</f>
        <v/>
      </c>
    </row>
    <row r="7">
      <c r="B7" s="7" t="inlineStr">
        <is>
          <t>Cost of goods sold</t>
        </is>
      </c>
      <c r="C7" s="34">
        <f>-PL!C6</f>
        <v/>
      </c>
      <c r="D7" s="34">
        <f>-PL!D6</f>
        <v/>
      </c>
      <c r="E7" s="34">
        <f>-PL!E6</f>
        <v/>
      </c>
      <c r="F7" s="34">
        <f>-PL!F6</f>
        <v/>
      </c>
      <c r="G7" s="34">
        <f>-PL!G6</f>
        <v/>
      </c>
      <c r="H7" s="34">
        <f>-PL!H6</f>
        <v/>
      </c>
      <c r="I7" s="34">
        <f>-PL!I6</f>
        <v/>
      </c>
      <c r="J7" s="34">
        <f>-PL!J6</f>
        <v/>
      </c>
      <c r="K7" s="34">
        <f>-PL!K6</f>
        <v/>
      </c>
      <c r="L7" s="34">
        <f>-PL!L6</f>
        <v/>
      </c>
      <c r="M7" s="34">
        <f>-PL!M6</f>
        <v/>
      </c>
      <c r="N7" s="34">
        <f>-PL!N6</f>
        <v/>
      </c>
      <c r="O7" s="34">
        <f>-PL!O6</f>
        <v/>
      </c>
    </row>
    <row r="9">
      <c r="B9" s="7" t="inlineStr">
        <is>
          <t>Trade receivables</t>
        </is>
      </c>
      <c r="C9" s="34">
        <f>BS!C40</f>
        <v/>
      </c>
      <c r="D9" s="34">
        <f>BS!D40</f>
        <v/>
      </c>
      <c r="E9" s="34">
        <f>BS!E40</f>
        <v/>
      </c>
      <c r="F9" s="34">
        <f>BS!F40</f>
        <v/>
      </c>
      <c r="G9" s="34">
        <f>BS!G40</f>
        <v/>
      </c>
      <c r="H9" s="39">
        <f>(2*(H6*Assumptions!H50/365))-G9</f>
        <v/>
      </c>
      <c r="I9" s="39">
        <f>(2*(I6*Assumptions!I50/365))-H9</f>
        <v/>
      </c>
      <c r="J9" s="39">
        <f>(2*(J6*Assumptions!J50/365))-I9</f>
        <v/>
      </c>
      <c r="K9" s="39">
        <f>(2*(K6*Assumptions!K50/365))-J9</f>
        <v/>
      </c>
      <c r="L9" s="39">
        <f>(2*(L6*Assumptions!L50/365))-K9</f>
        <v/>
      </c>
      <c r="M9" s="39">
        <f>(2*(M6*Assumptions!M50/365))-L9</f>
        <v/>
      </c>
      <c r="N9" s="39">
        <f>(2*(N6*Assumptions!N50/365))-M9</f>
        <v/>
      </c>
      <c r="O9" s="39">
        <f>(2*(O6*Assumptions!O50/365))-N9</f>
        <v/>
      </c>
    </row>
    <row r="10">
      <c r="B10" s="17" t="inlineStr">
        <is>
          <t xml:space="preserve">   Receivable days</t>
        </is>
      </c>
      <c r="D10" s="42">
        <f>AVERAGE(C9:D9)/D6*365</f>
        <v/>
      </c>
      <c r="E10" s="42">
        <f>AVERAGE(D9:E9)/E6*365</f>
        <v/>
      </c>
      <c r="F10" s="42">
        <f>AVERAGE(E9:F9)/F6*365</f>
        <v/>
      </c>
      <c r="G10" s="42">
        <f>AVERAGE(F9:G9)/G6*365</f>
        <v/>
      </c>
      <c r="H10" s="42">
        <f>AVERAGE(G9:H9)/H6*365</f>
        <v/>
      </c>
      <c r="I10" s="42">
        <f>AVERAGE(H9:I9)/I6*365</f>
        <v/>
      </c>
      <c r="J10" s="42">
        <f>AVERAGE(I9:J9)/J6*365</f>
        <v/>
      </c>
      <c r="K10" s="42">
        <f>AVERAGE(J9:K9)/K6*365</f>
        <v/>
      </c>
      <c r="L10" s="42">
        <f>AVERAGE(K9:L9)/L6*365</f>
        <v/>
      </c>
      <c r="M10" s="42">
        <f>AVERAGE(L9:M9)/M6*365</f>
        <v/>
      </c>
      <c r="N10" s="42">
        <f>AVERAGE(M9:N9)/N6*365</f>
        <v/>
      </c>
      <c r="O10" s="42">
        <f>AVERAGE(N9:O9)/O6*365</f>
        <v/>
      </c>
    </row>
    <row r="12">
      <c r="B12" s="7" t="inlineStr">
        <is>
          <t>Inventories</t>
        </is>
      </c>
      <c r="C12" s="34">
        <f>BS!C41</f>
        <v/>
      </c>
      <c r="D12" s="34">
        <f>BS!D41</f>
        <v/>
      </c>
      <c r="E12" s="34">
        <f>BS!E41</f>
        <v/>
      </c>
      <c r="F12" s="34">
        <f>BS!F41</f>
        <v/>
      </c>
      <c r="G12" s="34">
        <f>BS!G41</f>
        <v/>
      </c>
      <c r="H12" s="39">
        <f>(2*(H7*Assumptions!H51/365))-G12</f>
        <v/>
      </c>
      <c r="I12" s="39">
        <f>(2*(I7*Assumptions!I51/365))-H12</f>
        <v/>
      </c>
      <c r="J12" s="39">
        <f>(2*(J7*Assumptions!J51/365))-I12</f>
        <v/>
      </c>
      <c r="K12" s="39">
        <f>(2*(K7*Assumptions!K51/365))-J12</f>
        <v/>
      </c>
      <c r="L12" s="39">
        <f>(2*(L7*Assumptions!L51/365))-K12</f>
        <v/>
      </c>
      <c r="M12" s="39">
        <f>(2*(M7*Assumptions!M51/365))-L12</f>
        <v/>
      </c>
      <c r="N12" s="39">
        <f>(2*(N7*Assumptions!N51/365))-M12</f>
        <v/>
      </c>
      <c r="O12" s="39">
        <f>(2*(O7*Assumptions!O51/365))-N12</f>
        <v/>
      </c>
    </row>
    <row r="13">
      <c r="B13" s="17" t="inlineStr">
        <is>
          <t xml:space="preserve">   Inventory days</t>
        </is>
      </c>
      <c r="D13" s="42">
        <f>AVERAGE(C12:D12)/D7*365</f>
        <v/>
      </c>
      <c r="E13" s="42">
        <f>AVERAGE(D12:E12)/E7*365</f>
        <v/>
      </c>
      <c r="F13" s="42">
        <f>AVERAGE(E12:F12)/F7*365</f>
        <v/>
      </c>
      <c r="G13" s="42">
        <f>AVERAGE(F12:G12)/G7*365</f>
        <v/>
      </c>
      <c r="H13" s="42">
        <f>AVERAGE(G12:H12)/H7*365</f>
        <v/>
      </c>
      <c r="I13" s="42">
        <f>AVERAGE(H12:I12)/I7*365</f>
        <v/>
      </c>
      <c r="J13" s="42">
        <f>AVERAGE(I12:J12)/J7*365</f>
        <v/>
      </c>
      <c r="K13" s="42">
        <f>AVERAGE(J12:K12)/K7*365</f>
        <v/>
      </c>
      <c r="L13" s="42">
        <f>AVERAGE(K12:L12)/L7*365</f>
        <v/>
      </c>
      <c r="M13" s="42">
        <f>AVERAGE(L12:M12)/M7*365</f>
        <v/>
      </c>
      <c r="N13" s="42">
        <f>AVERAGE(M12:N12)/N7*365</f>
        <v/>
      </c>
      <c r="O13" s="42">
        <f>AVERAGE(N12:O12)/O7*365</f>
        <v/>
      </c>
    </row>
    <row r="15">
      <c r="B15" s="7" t="inlineStr">
        <is>
          <t>Trade payables</t>
        </is>
      </c>
      <c r="C15" s="34">
        <f>BS!C20</f>
        <v/>
      </c>
      <c r="D15" s="34">
        <f>BS!D20</f>
        <v/>
      </c>
      <c r="E15" s="34">
        <f>BS!E20</f>
        <v/>
      </c>
      <c r="F15" s="34">
        <f>BS!F20</f>
        <v/>
      </c>
      <c r="G15" s="34">
        <f>BS!G20</f>
        <v/>
      </c>
      <c r="H15" s="39">
        <f>(2*(H7*Assumptions!H52/365))-G15</f>
        <v/>
      </c>
      <c r="I15" s="39">
        <f>(2*(I7*Assumptions!I52/365))-H15</f>
        <v/>
      </c>
      <c r="J15" s="39">
        <f>(2*(J7*Assumptions!J52/365))-I15</f>
        <v/>
      </c>
      <c r="K15" s="39">
        <f>(2*(K7*Assumptions!K52/365))-J15</f>
        <v/>
      </c>
      <c r="L15" s="39">
        <f>(2*(L7*Assumptions!L52/365))-K15</f>
        <v/>
      </c>
      <c r="M15" s="39">
        <f>(2*(M7*Assumptions!M52/365))-L15</f>
        <v/>
      </c>
      <c r="N15" s="39">
        <f>(2*(N7*Assumptions!N52/365))-M15</f>
        <v/>
      </c>
      <c r="O15" s="39">
        <f>(2*(O7*Assumptions!O52/365))-N15</f>
        <v/>
      </c>
    </row>
    <row r="16">
      <c r="B16" s="17" t="inlineStr">
        <is>
          <t xml:space="preserve">   Payable days</t>
        </is>
      </c>
      <c r="D16" s="42">
        <f>AVERAGE(C15:D15)/D7*365</f>
        <v/>
      </c>
      <c r="E16" s="42">
        <f>AVERAGE(D15:E15)/E7*365</f>
        <v/>
      </c>
      <c r="F16" s="42">
        <f>AVERAGE(E15:F15)/F7*365</f>
        <v/>
      </c>
      <c r="G16" s="42">
        <f>AVERAGE(F15:G15)/G7*365</f>
        <v/>
      </c>
      <c r="H16" s="42">
        <f>AVERAGE(G15:H15)/H7*365</f>
        <v/>
      </c>
      <c r="I16" s="42">
        <f>AVERAGE(H15:I15)/I7*365</f>
        <v/>
      </c>
      <c r="J16" s="42">
        <f>AVERAGE(I15:J15)/J7*365</f>
        <v/>
      </c>
      <c r="K16" s="42">
        <f>AVERAGE(J15:K15)/K7*365</f>
        <v/>
      </c>
      <c r="L16" s="42">
        <f>AVERAGE(K15:L15)/L7*365</f>
        <v/>
      </c>
      <c r="M16" s="42">
        <f>AVERAGE(L15:M15)/M7*365</f>
        <v/>
      </c>
      <c r="N16" s="42">
        <f>AVERAGE(M15:N15)/N7*365</f>
        <v/>
      </c>
      <c r="O16" s="42">
        <f>AVERAGE(N15:O15)/O7*365</f>
        <v/>
      </c>
    </row>
    <row r="18">
      <c r="B18" s="7" t="inlineStr">
        <is>
          <t>Operating current assets (AR+Inv+Other CA)</t>
        </is>
      </c>
      <c r="C18" s="34">
        <f>BS!C40+BS!C41+BS!C42</f>
        <v/>
      </c>
      <c r="D18" s="34">
        <f>BS!D40+BS!D41+BS!D42</f>
        <v/>
      </c>
      <c r="E18" s="34">
        <f>BS!E40+BS!E41+BS!E42</f>
        <v/>
      </c>
      <c r="F18" s="34">
        <f>BS!F40+BS!F41+BS!F42</f>
        <v/>
      </c>
      <c r="G18" s="34">
        <f>BS!G40+BS!G41+BS!G42</f>
        <v/>
      </c>
      <c r="H18" s="34">
        <f>BS!H40+BS!H41+BS!H42</f>
        <v/>
      </c>
      <c r="I18" s="34">
        <f>BS!I40+BS!I41+BS!I42</f>
        <v/>
      </c>
      <c r="J18" s="34">
        <f>BS!J40+BS!J41+BS!J42</f>
        <v/>
      </c>
      <c r="K18" s="34">
        <f>BS!K40+BS!K41+BS!K42</f>
        <v/>
      </c>
      <c r="L18" s="34">
        <f>BS!L40+BS!L41+BS!L42</f>
        <v/>
      </c>
      <c r="M18" s="34">
        <f>BS!M40+BS!M41+BS!M42</f>
        <v/>
      </c>
      <c r="N18" s="34">
        <f>BS!N40+BS!N41+BS!N42</f>
        <v/>
      </c>
      <c r="O18" s="34">
        <f>BS!O40+BS!O41+BS!O42</f>
        <v/>
      </c>
    </row>
    <row r="19">
      <c r="B19" s="7" t="inlineStr">
        <is>
          <t>Operating current liabilities (Pay+Prov+Other CL)</t>
        </is>
      </c>
      <c r="C19" s="34">
        <f>BS!C20+BS!C23+BS!C24</f>
        <v/>
      </c>
      <c r="D19" s="34">
        <f>BS!D20+BS!D23+BS!D24</f>
        <v/>
      </c>
      <c r="E19" s="34">
        <f>BS!E20+BS!E23+BS!E24</f>
        <v/>
      </c>
      <c r="F19" s="34">
        <f>BS!F20+BS!F23+BS!F24</f>
        <v/>
      </c>
      <c r="G19" s="34">
        <f>BS!G20+BS!G23+BS!G24</f>
        <v/>
      </c>
      <c r="H19" s="34">
        <f>BS!H20+BS!H23+BS!H24</f>
        <v/>
      </c>
      <c r="I19" s="34">
        <f>BS!I20+BS!I23+BS!I24</f>
        <v/>
      </c>
      <c r="J19" s="34">
        <f>BS!J20+BS!J23+BS!J24</f>
        <v/>
      </c>
      <c r="K19" s="34">
        <f>BS!K20+BS!K23+BS!K24</f>
        <v/>
      </c>
      <c r="L19" s="34">
        <f>BS!L20+BS!L23+BS!L24</f>
        <v/>
      </c>
      <c r="M19" s="34">
        <f>BS!M20+BS!M23+BS!M24</f>
        <v/>
      </c>
      <c r="N19" s="34">
        <f>BS!N20+BS!N23+BS!N24</f>
        <v/>
      </c>
      <c r="O19" s="34">
        <f>BS!O20+BS!O23+BS!O24</f>
        <v/>
      </c>
    </row>
    <row r="20">
      <c r="B20" s="12" t="inlineStr">
        <is>
          <t>Net working capital</t>
        </is>
      </c>
      <c r="C20" s="33">
        <f>C18-C19</f>
        <v/>
      </c>
      <c r="D20" s="33">
        <f>D18-D19</f>
        <v/>
      </c>
      <c r="E20" s="33">
        <f>E18-E19</f>
        <v/>
      </c>
      <c r="F20" s="33">
        <f>F18-F19</f>
        <v/>
      </c>
      <c r="G20" s="33">
        <f>G18-G19</f>
        <v/>
      </c>
      <c r="H20" s="33">
        <f>H18-H19</f>
        <v/>
      </c>
      <c r="I20" s="33">
        <f>I18-I19</f>
        <v/>
      </c>
      <c r="J20" s="33">
        <f>J18-J19</f>
        <v/>
      </c>
      <c r="K20" s="33">
        <f>K18-K19</f>
        <v/>
      </c>
      <c r="L20" s="33">
        <f>L18-L19</f>
        <v/>
      </c>
      <c r="M20" s="33">
        <f>M18-M19</f>
        <v/>
      </c>
      <c r="N20" s="33">
        <f>N18-N19</f>
        <v/>
      </c>
      <c r="O20" s="33">
        <f>O18-O19</f>
        <v/>
      </c>
    </row>
    <row r="21">
      <c r="B21" s="12" t="inlineStr">
        <is>
          <t>Change in net working capital</t>
        </is>
      </c>
      <c r="D21" s="33">
        <f>D20-C20</f>
        <v/>
      </c>
      <c r="E21" s="33">
        <f>E20-D20</f>
        <v/>
      </c>
      <c r="F21" s="33">
        <f>F20-E20</f>
        <v/>
      </c>
      <c r="G21" s="33">
        <f>G20-F20</f>
        <v/>
      </c>
      <c r="H21" s="33">
        <f>H20-G20</f>
        <v/>
      </c>
      <c r="I21" s="33">
        <f>I20-H20</f>
        <v/>
      </c>
      <c r="J21" s="33">
        <f>J20-I20</f>
        <v/>
      </c>
      <c r="K21" s="33">
        <f>K20-J20</f>
        <v/>
      </c>
      <c r="L21" s="33">
        <f>L20-K20</f>
        <v/>
      </c>
      <c r="M21" s="33">
        <f>M20-L20</f>
        <v/>
      </c>
      <c r="N21" s="33">
        <f>N20-M20</f>
        <v/>
      </c>
      <c r="O21" s="33">
        <f>O20-N20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B2:O6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7" max="17"/>
    <col width="10" customWidth="1" min="18" max="18"/>
  </cols>
  <sheetData>
    <row r="2">
      <c r="B2" s="15" t="inlineStr">
        <is>
          <t>Ather Energy Ltd — Supporting Schedules (INR millions)</t>
        </is>
      </c>
    </row>
    <row r="4">
      <c r="B4" s="19" t="inlineStr">
        <is>
          <t>Property, Plant &amp; Equipment Schedule (net block roll-forward)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</row>
    <row r="5">
      <c r="B5" s="21" t="inlineStr">
        <is>
          <t>Particulars</t>
        </is>
      </c>
      <c r="C5" s="22" t="n">
        <v>2021</v>
      </c>
      <c r="D5" s="22">
        <f>C5+1</f>
        <v/>
      </c>
      <c r="E5" s="22">
        <f>D5+1</f>
        <v/>
      </c>
      <c r="F5" s="22">
        <f>E5+1</f>
        <v/>
      </c>
      <c r="G5" s="22">
        <f>F5+1</f>
        <v/>
      </c>
      <c r="H5" s="23">
        <f>G5+1</f>
        <v/>
      </c>
      <c r="I5" s="23">
        <f>H5+1</f>
        <v/>
      </c>
      <c r="J5" s="23">
        <f>I5+1</f>
        <v/>
      </c>
      <c r="K5" s="23">
        <f>J5+1</f>
        <v/>
      </c>
      <c r="L5" s="23">
        <f>K5+1</f>
        <v/>
      </c>
      <c r="M5" s="23">
        <f>L5+1</f>
        <v/>
      </c>
      <c r="N5" s="23">
        <f>M5+1</f>
        <v/>
      </c>
      <c r="O5" s="23">
        <f>N5+1</f>
        <v/>
      </c>
    </row>
    <row r="6">
      <c r="B6" s="7" t="inlineStr">
        <is>
          <t>Opening net block</t>
        </is>
      </c>
      <c r="H6" s="34">
        <f>G9</f>
        <v/>
      </c>
      <c r="I6" s="34">
        <f>H9</f>
        <v/>
      </c>
      <c r="J6" s="34">
        <f>I9</f>
        <v/>
      </c>
      <c r="K6" s="34">
        <f>J9</f>
        <v/>
      </c>
      <c r="L6" s="34">
        <f>K9</f>
        <v/>
      </c>
      <c r="M6" s="34">
        <f>L9</f>
        <v/>
      </c>
      <c r="N6" s="34">
        <f>M9</f>
        <v/>
      </c>
      <c r="O6" s="34">
        <f>N9</f>
        <v/>
      </c>
    </row>
    <row r="7">
      <c r="B7" s="7" t="inlineStr">
        <is>
          <t>Capex (PPE &amp; CWIP)</t>
        </is>
      </c>
      <c r="H7" s="34">
        <f>PL!H5*Assumptions!H32</f>
        <v/>
      </c>
      <c r="I7" s="34">
        <f>PL!I5*Assumptions!I32</f>
        <v/>
      </c>
      <c r="J7" s="34">
        <f>PL!J5*Assumptions!J32</f>
        <v/>
      </c>
      <c r="K7" s="34">
        <f>PL!K5*Assumptions!K32</f>
        <v/>
      </c>
      <c r="L7" s="34">
        <f>PL!L5*Assumptions!L32</f>
        <v/>
      </c>
      <c r="M7" s="34">
        <f>PL!M5*Assumptions!M32</f>
        <v/>
      </c>
      <c r="N7" s="34">
        <f>PL!N5*Assumptions!N32</f>
        <v/>
      </c>
      <c r="O7" s="34">
        <f>PL!O5*Assumptions!O32</f>
        <v/>
      </c>
    </row>
    <row r="8">
      <c r="B8" s="7" t="inlineStr">
        <is>
          <t>Depreciation</t>
        </is>
      </c>
      <c r="H8" s="39">
        <f>-(H6+0.5*H7)/Assumptions!H33</f>
        <v/>
      </c>
      <c r="I8" s="39">
        <f>-(I6+0.5*I7)/Assumptions!I33</f>
        <v/>
      </c>
      <c r="J8" s="39">
        <f>-(J6+0.5*J7)/Assumptions!J33</f>
        <v/>
      </c>
      <c r="K8" s="39">
        <f>-(K6+0.5*K7)/Assumptions!K33</f>
        <v/>
      </c>
      <c r="L8" s="39">
        <f>-(L6+0.5*L7)/Assumptions!L33</f>
        <v/>
      </c>
      <c r="M8" s="39">
        <f>-(M6+0.5*M7)/Assumptions!M33</f>
        <v/>
      </c>
      <c r="N8" s="39">
        <f>-(N6+0.5*N7)/Assumptions!N33</f>
        <v/>
      </c>
      <c r="O8" s="39">
        <f>-(O6+0.5*O7)/Assumptions!O33</f>
        <v/>
      </c>
    </row>
    <row r="9">
      <c r="B9" s="12" t="inlineStr">
        <is>
          <t>Closing net block</t>
        </is>
      </c>
      <c r="G9" s="38" t="n">
        <v>2674</v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</row>
    <row r="11">
      <c r="B11" s="19" t="inlineStr">
        <is>
          <t>Right-of-Use (Lease) Assets Schedule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B12" s="21" t="inlineStr">
        <is>
          <t>Particulars</t>
        </is>
      </c>
      <c r="C12" s="22" t="n">
        <v>2021</v>
      </c>
      <c r="D12" s="22">
        <f>C12+1</f>
        <v/>
      </c>
      <c r="E12" s="22">
        <f>D12+1</f>
        <v/>
      </c>
      <c r="F12" s="22">
        <f>E12+1</f>
        <v/>
      </c>
      <c r="G12" s="22">
        <f>F12+1</f>
        <v/>
      </c>
      <c r="H12" s="23">
        <f>G12+1</f>
        <v/>
      </c>
      <c r="I12" s="23">
        <f>H12+1</f>
        <v/>
      </c>
      <c r="J12" s="23">
        <f>I12+1</f>
        <v/>
      </c>
      <c r="K12" s="23">
        <f>J12+1</f>
        <v/>
      </c>
      <c r="L12" s="23">
        <f>K12+1</f>
        <v/>
      </c>
      <c r="M12" s="23">
        <f>L12+1</f>
        <v/>
      </c>
      <c r="N12" s="23">
        <f>M12+1</f>
        <v/>
      </c>
      <c r="O12" s="23">
        <f>N12+1</f>
        <v/>
      </c>
    </row>
    <row r="13">
      <c r="B13" s="7" t="inlineStr">
        <is>
          <t>Opening ROU assets</t>
        </is>
      </c>
      <c r="H13" s="34">
        <f>G16</f>
        <v/>
      </c>
      <c r="I13" s="34">
        <f>H16</f>
        <v/>
      </c>
      <c r="J13" s="34">
        <f>I16</f>
        <v/>
      </c>
      <c r="K13" s="34">
        <f>J16</f>
        <v/>
      </c>
      <c r="L13" s="34">
        <f>K16</f>
        <v/>
      </c>
      <c r="M13" s="34">
        <f>L16</f>
        <v/>
      </c>
      <c r="N13" s="34">
        <f>M16</f>
        <v/>
      </c>
      <c r="O13" s="34">
        <f>N16</f>
        <v/>
      </c>
    </row>
    <row r="14">
      <c r="B14" s="7" t="inlineStr">
        <is>
          <t>Additions (new leases)</t>
        </is>
      </c>
      <c r="H14" s="34">
        <f>PL!H5*Assumptions!H36</f>
        <v/>
      </c>
      <c r="I14" s="34">
        <f>PL!I5*Assumptions!I36</f>
        <v/>
      </c>
      <c r="J14" s="34">
        <f>PL!J5*Assumptions!J36</f>
        <v/>
      </c>
      <c r="K14" s="34">
        <f>PL!K5*Assumptions!K36</f>
        <v/>
      </c>
      <c r="L14" s="34">
        <f>PL!L5*Assumptions!L36</f>
        <v/>
      </c>
      <c r="M14" s="34">
        <f>PL!M5*Assumptions!M36</f>
        <v/>
      </c>
      <c r="N14" s="34">
        <f>PL!N5*Assumptions!N36</f>
        <v/>
      </c>
      <c r="O14" s="34">
        <f>PL!O5*Assumptions!O36</f>
        <v/>
      </c>
    </row>
    <row r="15">
      <c r="B15" s="7" t="inlineStr">
        <is>
          <t>Amortisation</t>
        </is>
      </c>
      <c r="H15" s="39">
        <f>-(H13+0.5*H14)*Assumptions!H37</f>
        <v/>
      </c>
      <c r="I15" s="39">
        <f>-(I13+0.5*I14)*Assumptions!I37</f>
        <v/>
      </c>
      <c r="J15" s="39">
        <f>-(J13+0.5*J14)*Assumptions!J37</f>
        <v/>
      </c>
      <c r="K15" s="39">
        <f>-(K13+0.5*K14)*Assumptions!K37</f>
        <v/>
      </c>
      <c r="L15" s="39">
        <f>-(L13+0.5*L14)*Assumptions!L37</f>
        <v/>
      </c>
      <c r="M15" s="39">
        <f>-(M13+0.5*M14)*Assumptions!M37</f>
        <v/>
      </c>
      <c r="N15" s="39">
        <f>-(N13+0.5*N14)*Assumptions!N37</f>
        <v/>
      </c>
      <c r="O15" s="39">
        <f>-(O13+0.5*O14)*Assumptions!O37</f>
        <v/>
      </c>
    </row>
    <row r="16">
      <c r="B16" s="12" t="inlineStr">
        <is>
          <t>Closing ROU assets</t>
        </is>
      </c>
      <c r="G16" s="38" t="n">
        <v>2443</v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</row>
    <row r="18">
      <c r="B18" s="19" t="inlineStr">
        <is>
          <t>Intangible Assets Schedule (incl. assets under development)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</row>
    <row r="19">
      <c r="B19" s="21" t="inlineStr">
        <is>
          <t>Particulars</t>
        </is>
      </c>
      <c r="C19" s="22" t="n">
        <v>2021</v>
      </c>
      <c r="D19" s="22">
        <f>C19+1</f>
        <v/>
      </c>
      <c r="E19" s="22">
        <f>D19+1</f>
        <v/>
      </c>
      <c r="F19" s="22">
        <f>E19+1</f>
        <v/>
      </c>
      <c r="G19" s="22">
        <f>F19+1</f>
        <v/>
      </c>
      <c r="H19" s="23">
        <f>G19+1</f>
        <v/>
      </c>
      <c r="I19" s="23">
        <f>H19+1</f>
        <v/>
      </c>
      <c r="J19" s="23">
        <f>I19+1</f>
        <v/>
      </c>
      <c r="K19" s="23">
        <f>J19+1</f>
        <v/>
      </c>
      <c r="L19" s="23">
        <f>K19+1</f>
        <v/>
      </c>
      <c r="M19" s="23">
        <f>L19+1</f>
        <v/>
      </c>
      <c r="N19" s="23">
        <f>M19+1</f>
        <v/>
      </c>
      <c r="O19" s="23">
        <f>N19+1</f>
        <v/>
      </c>
    </row>
    <row r="20">
      <c r="B20" s="7" t="inlineStr">
        <is>
          <t>Opening intangibles</t>
        </is>
      </c>
      <c r="H20" s="34">
        <f>G23</f>
        <v/>
      </c>
      <c r="I20" s="34">
        <f>H23</f>
        <v/>
      </c>
      <c r="J20" s="34">
        <f>I23</f>
        <v/>
      </c>
      <c r="K20" s="34">
        <f>J23</f>
        <v/>
      </c>
      <c r="L20" s="34">
        <f>K23</f>
        <v/>
      </c>
      <c r="M20" s="34">
        <f>L23</f>
        <v/>
      </c>
      <c r="N20" s="34">
        <f>M23</f>
        <v/>
      </c>
      <c r="O20" s="34">
        <f>N23</f>
        <v/>
      </c>
    </row>
    <row r="21">
      <c r="B21" s="7" t="inlineStr">
        <is>
          <t>Additions (capitalised development)</t>
        </is>
      </c>
      <c r="H21" s="34">
        <f>PL!H5*Assumptions!H34</f>
        <v/>
      </c>
      <c r="I21" s="34">
        <f>PL!I5*Assumptions!I34</f>
        <v/>
      </c>
      <c r="J21" s="34">
        <f>PL!J5*Assumptions!J34</f>
        <v/>
      </c>
      <c r="K21" s="34">
        <f>PL!K5*Assumptions!K34</f>
        <v/>
      </c>
      <c r="L21" s="34">
        <f>PL!L5*Assumptions!L34</f>
        <v/>
      </c>
      <c r="M21" s="34">
        <f>PL!M5*Assumptions!M34</f>
        <v/>
      </c>
      <c r="N21" s="34">
        <f>PL!N5*Assumptions!N34</f>
        <v/>
      </c>
      <c r="O21" s="34">
        <f>PL!O5*Assumptions!O34</f>
        <v/>
      </c>
    </row>
    <row r="22">
      <c r="B22" s="7" t="inlineStr">
        <is>
          <t>Amortisation</t>
        </is>
      </c>
      <c r="H22" s="39">
        <f>-H20*Assumptions!H35</f>
        <v/>
      </c>
      <c r="I22" s="39">
        <f>-I20*Assumptions!I35</f>
        <v/>
      </c>
      <c r="J22" s="39">
        <f>-J20*Assumptions!J35</f>
        <v/>
      </c>
      <c r="K22" s="39">
        <f>-K20*Assumptions!K35</f>
        <v/>
      </c>
      <c r="L22" s="39">
        <f>-L20*Assumptions!L35</f>
        <v/>
      </c>
      <c r="M22" s="39">
        <f>-M20*Assumptions!M35</f>
        <v/>
      </c>
      <c r="N22" s="39">
        <f>-N20*Assumptions!N35</f>
        <v/>
      </c>
      <c r="O22" s="39">
        <f>-O20*Assumptions!O35</f>
        <v/>
      </c>
    </row>
    <row r="23">
      <c r="B23" s="12" t="inlineStr">
        <is>
          <t>Closing intangibles</t>
        </is>
      </c>
      <c r="G23" s="38" t="n">
        <v>2206</v>
      </c>
      <c r="H23" s="33">
        <f>SUM(H20:H22)</f>
        <v/>
      </c>
      <c r="I23" s="33">
        <f>SUM(I20:I22)</f>
        <v/>
      </c>
      <c r="J23" s="33">
        <f>SUM(J20:J22)</f>
        <v/>
      </c>
      <c r="K23" s="33">
        <f>SUM(K20:K22)</f>
        <v/>
      </c>
      <c r="L23" s="33">
        <f>SUM(L20:L22)</f>
        <v/>
      </c>
      <c r="M23" s="33">
        <f>SUM(M20:M22)</f>
        <v/>
      </c>
      <c r="N23" s="33">
        <f>SUM(N20:N22)</f>
        <v/>
      </c>
      <c r="O23" s="33">
        <f>SUM(O20:O22)</f>
        <v/>
      </c>
    </row>
    <row r="25">
      <c r="B25" s="19" t="inlineStr">
        <is>
          <t>Capital Work-in-Progress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B26" s="21" t="inlineStr">
        <is>
          <t>Particulars</t>
        </is>
      </c>
      <c r="C26" s="22" t="n">
        <v>2021</v>
      </c>
      <c r="D26" s="22">
        <f>C26+1</f>
        <v/>
      </c>
      <c r="E26" s="22">
        <f>D26+1</f>
        <v/>
      </c>
      <c r="F26" s="22">
        <f>E26+1</f>
        <v/>
      </c>
      <c r="G26" s="22">
        <f>F26+1</f>
        <v/>
      </c>
      <c r="H26" s="23">
        <f>G26+1</f>
        <v/>
      </c>
      <c r="I26" s="23">
        <f>H26+1</f>
        <v/>
      </c>
      <c r="J26" s="23">
        <f>I26+1</f>
        <v/>
      </c>
      <c r="K26" s="23">
        <f>J26+1</f>
        <v/>
      </c>
      <c r="L26" s="23">
        <f>K26+1</f>
        <v/>
      </c>
      <c r="M26" s="23">
        <f>L26+1</f>
        <v/>
      </c>
      <c r="N26" s="23">
        <f>M26+1</f>
        <v/>
      </c>
      <c r="O26" s="23">
        <f>N26+1</f>
        <v/>
      </c>
    </row>
    <row r="27">
      <c r="B27" s="12" t="inlineStr">
        <is>
          <t>Capital work-in-progress (held)</t>
        </is>
      </c>
      <c r="G27" s="38" t="n">
        <v>57</v>
      </c>
      <c r="H27" s="8">
        <f>G27</f>
        <v/>
      </c>
      <c r="I27" s="8">
        <f>H27</f>
        <v/>
      </c>
      <c r="J27" s="8">
        <f>I27</f>
        <v/>
      </c>
      <c r="K27" s="8">
        <f>J27</f>
        <v/>
      </c>
      <c r="L27" s="8">
        <f>K27</f>
        <v/>
      </c>
      <c r="M27" s="8">
        <f>L27</f>
        <v/>
      </c>
      <c r="N27" s="8">
        <f>M27</f>
        <v/>
      </c>
      <c r="O27" s="8">
        <f>N27</f>
        <v/>
      </c>
    </row>
    <row r="29">
      <c r="B29" s="19" t="inlineStr">
        <is>
          <t>Total Depreciation &amp; Amortisation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B30" s="7" t="inlineStr">
        <is>
          <t>Depreciation — PPE</t>
        </is>
      </c>
      <c r="H30" s="39">
        <f>H8</f>
        <v/>
      </c>
      <c r="I30" s="39">
        <f>I8</f>
        <v/>
      </c>
      <c r="J30" s="39">
        <f>J8</f>
        <v/>
      </c>
      <c r="K30" s="39">
        <f>K8</f>
        <v/>
      </c>
      <c r="L30" s="39">
        <f>L8</f>
        <v/>
      </c>
      <c r="M30" s="39">
        <f>M8</f>
        <v/>
      </c>
      <c r="N30" s="39">
        <f>N8</f>
        <v/>
      </c>
      <c r="O30" s="39">
        <f>O8</f>
        <v/>
      </c>
    </row>
    <row r="31">
      <c r="B31" s="7" t="inlineStr">
        <is>
          <t>Amortisation — ROU</t>
        </is>
      </c>
      <c r="H31" s="39">
        <f>H15</f>
        <v/>
      </c>
      <c r="I31" s="39">
        <f>I15</f>
        <v/>
      </c>
      <c r="J31" s="39">
        <f>J15</f>
        <v/>
      </c>
      <c r="K31" s="39">
        <f>K15</f>
        <v/>
      </c>
      <c r="L31" s="39">
        <f>L15</f>
        <v/>
      </c>
      <c r="M31" s="39">
        <f>M15</f>
        <v/>
      </c>
      <c r="N31" s="39">
        <f>N15</f>
        <v/>
      </c>
      <c r="O31" s="39">
        <f>O15</f>
        <v/>
      </c>
    </row>
    <row r="32">
      <c r="B32" s="7" t="inlineStr">
        <is>
          <t>Amortisation — intangibles</t>
        </is>
      </c>
      <c r="H32" s="39">
        <f>H22</f>
        <v/>
      </c>
      <c r="I32" s="39">
        <f>I22</f>
        <v/>
      </c>
      <c r="J32" s="39">
        <f>J22</f>
        <v/>
      </c>
      <c r="K32" s="39">
        <f>K22</f>
        <v/>
      </c>
      <c r="L32" s="39">
        <f>L22</f>
        <v/>
      </c>
      <c r="M32" s="39">
        <f>M22</f>
        <v/>
      </c>
      <c r="N32" s="39">
        <f>N22</f>
        <v/>
      </c>
      <c r="O32" s="39">
        <f>O22</f>
        <v/>
      </c>
    </row>
    <row r="33">
      <c r="B33" s="12" t="inlineStr">
        <is>
          <t>Total D&amp;A (to P&amp;L)</t>
        </is>
      </c>
      <c r="H33" s="33">
        <f>SUM(H30:H32)</f>
        <v/>
      </c>
      <c r="I33" s="33">
        <f>SUM(I30:I32)</f>
        <v/>
      </c>
      <c r="J33" s="33">
        <f>SUM(J30:J32)</f>
        <v/>
      </c>
      <c r="K33" s="33">
        <f>SUM(K30:K32)</f>
        <v/>
      </c>
      <c r="L33" s="33">
        <f>SUM(L30:L32)</f>
        <v/>
      </c>
      <c r="M33" s="33">
        <f>SUM(M30:M32)</f>
        <v/>
      </c>
      <c r="N33" s="33">
        <f>SUM(N30:N32)</f>
        <v/>
      </c>
      <c r="O33" s="33">
        <f>SUM(O30:O32)</f>
        <v/>
      </c>
    </row>
    <row r="35">
      <c r="B35" s="19" t="inlineStr">
        <is>
          <t>Borrowings (Debt) Schedule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</row>
    <row r="36">
      <c r="B36" s="21" t="inlineStr">
        <is>
          <t>Particulars</t>
        </is>
      </c>
      <c r="C36" s="22" t="n">
        <v>2021</v>
      </c>
      <c r="D36" s="22">
        <f>C36+1</f>
        <v/>
      </c>
      <c r="E36" s="22">
        <f>D36+1</f>
        <v/>
      </c>
      <c r="F36" s="22">
        <f>E36+1</f>
        <v/>
      </c>
      <c r="G36" s="22">
        <f>F36+1</f>
        <v/>
      </c>
      <c r="H36" s="23">
        <f>G36+1</f>
        <v/>
      </c>
      <c r="I36" s="23">
        <f>H36+1</f>
        <v/>
      </c>
      <c r="J36" s="23">
        <f>I36+1</f>
        <v/>
      </c>
      <c r="K36" s="23">
        <f>J36+1</f>
        <v/>
      </c>
      <c r="L36" s="23">
        <f>K36+1</f>
        <v/>
      </c>
      <c r="M36" s="23">
        <f>L36+1</f>
        <v/>
      </c>
      <c r="N36" s="23">
        <f>M36+1</f>
        <v/>
      </c>
      <c r="O36" s="23">
        <f>N36+1</f>
        <v/>
      </c>
    </row>
    <row r="37">
      <c r="B37" s="7" t="inlineStr">
        <is>
          <t>Opening borrowings</t>
        </is>
      </c>
      <c r="H37" s="34">
        <f>G39</f>
        <v/>
      </c>
      <c r="I37" s="34">
        <f>H39</f>
        <v/>
      </c>
      <c r="J37" s="34">
        <f>I39</f>
        <v/>
      </c>
      <c r="K37" s="34">
        <f>J39</f>
        <v/>
      </c>
      <c r="L37" s="34">
        <f>K39</f>
        <v/>
      </c>
      <c r="M37" s="34">
        <f>L39</f>
        <v/>
      </c>
      <c r="N37" s="34">
        <f>M39</f>
        <v/>
      </c>
      <c r="O37" s="34">
        <f>N39</f>
        <v/>
      </c>
    </row>
    <row r="38">
      <c r="B38" s="7" t="inlineStr">
        <is>
          <t>Net drawdown / (repayment)</t>
        </is>
      </c>
      <c r="H38" s="34">
        <f>Assumptions!H41</f>
        <v/>
      </c>
      <c r="I38" s="34">
        <f>Assumptions!I41</f>
        <v/>
      </c>
      <c r="J38" s="34">
        <f>Assumptions!J41</f>
        <v/>
      </c>
      <c r="K38" s="34">
        <f>Assumptions!K41</f>
        <v/>
      </c>
      <c r="L38" s="34">
        <f>Assumptions!L41</f>
        <v/>
      </c>
      <c r="M38" s="34">
        <f>Assumptions!M41</f>
        <v/>
      </c>
      <c r="N38" s="34">
        <f>Assumptions!N41</f>
        <v/>
      </c>
      <c r="O38" s="34">
        <f>Assumptions!O41</f>
        <v/>
      </c>
    </row>
    <row r="39">
      <c r="B39" s="12" t="inlineStr">
        <is>
          <t>Closing borrowings</t>
        </is>
      </c>
      <c r="G39" s="38" t="n">
        <v>4499</v>
      </c>
      <c r="H39" s="33">
        <f>H37+H38</f>
        <v/>
      </c>
      <c r="I39" s="33">
        <f>I37+I38</f>
        <v/>
      </c>
      <c r="J39" s="33">
        <f>J37+J38</f>
        <v/>
      </c>
      <c r="K39" s="33">
        <f>K37+K38</f>
        <v/>
      </c>
      <c r="L39" s="33">
        <f>L37+L38</f>
        <v/>
      </c>
      <c r="M39" s="33">
        <f>M37+M38</f>
        <v/>
      </c>
      <c r="N39" s="33">
        <f>N37+N38</f>
        <v/>
      </c>
      <c r="O39" s="33">
        <f>O37+O38</f>
        <v/>
      </c>
    </row>
    <row r="40">
      <c r="B40" s="7" t="inlineStr">
        <is>
          <t>Interest on borrowings</t>
        </is>
      </c>
      <c r="H40" s="39">
        <f>H37*Assumptions!H40</f>
        <v/>
      </c>
      <c r="I40" s="39">
        <f>I37*Assumptions!I40</f>
        <v/>
      </c>
      <c r="J40" s="39">
        <f>J37*Assumptions!J40</f>
        <v/>
      </c>
      <c r="K40" s="39">
        <f>K37*Assumptions!K40</f>
        <v/>
      </c>
      <c r="L40" s="39">
        <f>L37*Assumptions!L40</f>
        <v/>
      </c>
      <c r="M40" s="39">
        <f>M37*Assumptions!M40</f>
        <v/>
      </c>
      <c r="N40" s="39">
        <f>N37*Assumptions!N40</f>
        <v/>
      </c>
      <c r="O40" s="39">
        <f>O37*Assumptions!O40</f>
        <v/>
      </c>
    </row>
    <row r="42">
      <c r="B42" s="19" t="inlineStr">
        <is>
          <t>Lease Liability Schedule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</row>
    <row r="43">
      <c r="B43" s="21" t="inlineStr">
        <is>
          <t>Particulars</t>
        </is>
      </c>
      <c r="C43" s="22" t="n">
        <v>2021</v>
      </c>
      <c r="D43" s="22">
        <f>C43+1</f>
        <v/>
      </c>
      <c r="E43" s="22">
        <f>D43+1</f>
        <v/>
      </c>
      <c r="F43" s="22">
        <f>E43+1</f>
        <v/>
      </c>
      <c r="G43" s="22">
        <f>F43+1</f>
        <v/>
      </c>
      <c r="H43" s="23">
        <f>G43+1</f>
        <v/>
      </c>
      <c r="I43" s="23">
        <f>H43+1</f>
        <v/>
      </c>
      <c r="J43" s="23">
        <f>I43+1</f>
        <v/>
      </c>
      <c r="K43" s="23">
        <f>J43+1</f>
        <v/>
      </c>
      <c r="L43" s="23">
        <f>K43+1</f>
        <v/>
      </c>
      <c r="M43" s="23">
        <f>L43+1</f>
        <v/>
      </c>
      <c r="N43" s="23">
        <f>M43+1</f>
        <v/>
      </c>
      <c r="O43" s="23">
        <f>N43+1</f>
        <v/>
      </c>
    </row>
    <row r="44">
      <c r="B44" s="7" t="inlineStr">
        <is>
          <t>Opening lease liability</t>
        </is>
      </c>
      <c r="H44" s="34">
        <f>G47</f>
        <v/>
      </c>
      <c r="I44" s="34">
        <f>H47</f>
        <v/>
      </c>
      <c r="J44" s="34">
        <f>I47</f>
        <v/>
      </c>
      <c r="K44" s="34">
        <f>J47</f>
        <v/>
      </c>
      <c r="L44" s="34">
        <f>K47</f>
        <v/>
      </c>
      <c r="M44" s="34">
        <f>L47</f>
        <v/>
      </c>
      <c r="N44" s="34">
        <f>M47</f>
        <v/>
      </c>
      <c r="O44" s="34">
        <f>N47</f>
        <v/>
      </c>
    </row>
    <row r="45">
      <c r="B45" s="7" t="inlineStr">
        <is>
          <t>Additions (new leases)</t>
        </is>
      </c>
      <c r="H45" s="39">
        <f>H14</f>
        <v/>
      </c>
      <c r="I45" s="39">
        <f>I14</f>
        <v/>
      </c>
      <c r="J45" s="39">
        <f>J14</f>
        <v/>
      </c>
      <c r="K45" s="39">
        <f>K14</f>
        <v/>
      </c>
      <c r="L45" s="39">
        <f>L14</f>
        <v/>
      </c>
      <c r="M45" s="39">
        <f>M14</f>
        <v/>
      </c>
      <c r="N45" s="39">
        <f>N14</f>
        <v/>
      </c>
      <c r="O45" s="39">
        <f>O14</f>
        <v/>
      </c>
    </row>
    <row r="46">
      <c r="B46" s="7" t="inlineStr">
        <is>
          <t>Principal repayment</t>
        </is>
      </c>
      <c r="G46" s="30" t="n">
        <v>-211</v>
      </c>
      <c r="H46" s="39">
        <f>G46*(1+Assumptions!H43)</f>
        <v/>
      </c>
      <c r="I46" s="39">
        <f>H46*(1+Assumptions!I43)</f>
        <v/>
      </c>
      <c r="J46" s="39">
        <f>I46*(1+Assumptions!J43)</f>
        <v/>
      </c>
      <c r="K46" s="39">
        <f>J46*(1+Assumptions!K43)</f>
        <v/>
      </c>
      <c r="L46" s="39">
        <f>K46*(1+Assumptions!L43)</f>
        <v/>
      </c>
      <c r="M46" s="39">
        <f>L46*(1+Assumptions!M43)</f>
        <v/>
      </c>
      <c r="N46" s="39">
        <f>M46*(1+Assumptions!N43)</f>
        <v/>
      </c>
      <c r="O46" s="39">
        <f>N46*(1+Assumptions!O43)</f>
        <v/>
      </c>
    </row>
    <row r="47">
      <c r="B47" s="12" t="inlineStr">
        <is>
          <t>Closing lease liability</t>
        </is>
      </c>
      <c r="G47" s="38" t="n">
        <v>1694</v>
      </c>
      <c r="H47" s="33">
        <f>H44+H45+H46</f>
        <v/>
      </c>
      <c r="I47" s="33">
        <f>I44+I45+I46</f>
        <v/>
      </c>
      <c r="J47" s="33">
        <f>J44+J45+J46</f>
        <v/>
      </c>
      <c r="K47" s="33">
        <f>K44+K45+K46</f>
        <v/>
      </c>
      <c r="L47" s="33">
        <f>L44+L45+L46</f>
        <v/>
      </c>
      <c r="M47" s="33">
        <f>M44+M45+M46</f>
        <v/>
      </c>
      <c r="N47" s="33">
        <f>N44+N45+N46</f>
        <v/>
      </c>
      <c r="O47" s="33">
        <f>O44+O45+O46</f>
        <v/>
      </c>
    </row>
    <row r="48">
      <c r="B48" s="7" t="inlineStr">
        <is>
          <t>Interest on lease liabilities</t>
        </is>
      </c>
      <c r="H48" s="39">
        <f>H44*Assumptions!H42</f>
        <v/>
      </c>
      <c r="I48" s="39">
        <f>I44*Assumptions!I42</f>
        <v/>
      </c>
      <c r="J48" s="39">
        <f>J44*Assumptions!J42</f>
        <v/>
      </c>
      <c r="K48" s="39">
        <f>K44*Assumptions!K42</f>
        <v/>
      </c>
      <c r="L48" s="39">
        <f>L44*Assumptions!L42</f>
        <v/>
      </c>
      <c r="M48" s="39">
        <f>M44*Assumptions!M42</f>
        <v/>
      </c>
      <c r="N48" s="39">
        <f>N44*Assumptions!N42</f>
        <v/>
      </c>
      <c r="O48" s="39">
        <f>O44*Assumptions!O42</f>
        <v/>
      </c>
    </row>
    <row r="50">
      <c r="B50" s="19" t="inlineStr">
        <is>
          <t>Finance Cost Schedule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>
      <c r="B51" s="7" t="inlineStr">
        <is>
          <t>Interest on borrowings</t>
        </is>
      </c>
      <c r="H51" s="39">
        <f>H40</f>
        <v/>
      </c>
      <c r="I51" s="39">
        <f>I40</f>
        <v/>
      </c>
      <c r="J51" s="39">
        <f>J40</f>
        <v/>
      </c>
      <c r="K51" s="39">
        <f>K40</f>
        <v/>
      </c>
      <c r="L51" s="39">
        <f>L40</f>
        <v/>
      </c>
      <c r="M51" s="39">
        <f>M40</f>
        <v/>
      </c>
      <c r="N51" s="39">
        <f>N40</f>
        <v/>
      </c>
      <c r="O51" s="39">
        <f>O40</f>
        <v/>
      </c>
    </row>
    <row r="52">
      <c r="B52" s="7" t="inlineStr">
        <is>
          <t>Interest on leases</t>
        </is>
      </c>
      <c r="H52" s="39">
        <f>H48</f>
        <v/>
      </c>
      <c r="I52" s="39">
        <f>I48</f>
        <v/>
      </c>
      <c r="J52" s="39">
        <f>J48</f>
        <v/>
      </c>
      <c r="K52" s="39">
        <f>K48</f>
        <v/>
      </c>
      <c r="L52" s="39">
        <f>L48</f>
        <v/>
      </c>
      <c r="M52" s="39">
        <f>M48</f>
        <v/>
      </c>
      <c r="N52" s="39">
        <f>N48</f>
        <v/>
      </c>
      <c r="O52" s="39">
        <f>O48</f>
        <v/>
      </c>
    </row>
    <row r="53">
      <c r="B53" s="12" t="inlineStr">
        <is>
          <t>Total finance cost (to P&amp;L)</t>
        </is>
      </c>
      <c r="H53" s="33">
        <f>H51+H52</f>
        <v/>
      </c>
      <c r="I53" s="33">
        <f>I51+I52</f>
        <v/>
      </c>
      <c r="J53" s="33">
        <f>J51+J52</f>
        <v/>
      </c>
      <c r="K53" s="33">
        <f>K51+K52</f>
        <v/>
      </c>
      <c r="L53" s="33">
        <f>L51+L52</f>
        <v/>
      </c>
      <c r="M53" s="33">
        <f>M51+M52</f>
        <v/>
      </c>
      <c r="N53" s="33">
        <f>N51+N52</f>
        <v/>
      </c>
      <c r="O53" s="33">
        <f>O51+O52</f>
        <v/>
      </c>
    </row>
    <row r="55">
      <c r="B55" s="19" t="inlineStr">
        <is>
          <t>Tax &amp; Carry-forward Losses Schedule</t>
        </is>
      </c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</row>
    <row r="56">
      <c r="B56" s="21" t="inlineStr">
        <is>
          <t>Particulars</t>
        </is>
      </c>
      <c r="C56" s="22" t="n">
        <v>2021</v>
      </c>
      <c r="D56" s="22">
        <f>C56+1</f>
        <v/>
      </c>
      <c r="E56" s="22">
        <f>D56+1</f>
        <v/>
      </c>
      <c r="F56" s="22">
        <f>E56+1</f>
        <v/>
      </c>
      <c r="G56" s="22">
        <f>F56+1</f>
        <v/>
      </c>
      <c r="H56" s="23">
        <f>G56+1</f>
        <v/>
      </c>
      <c r="I56" s="23">
        <f>H56+1</f>
        <v/>
      </c>
      <c r="J56" s="23">
        <f>I56+1</f>
        <v/>
      </c>
      <c r="K56" s="23">
        <f>J56+1</f>
        <v/>
      </c>
      <c r="L56" s="23">
        <f>K56+1</f>
        <v/>
      </c>
      <c r="M56" s="23">
        <f>L56+1</f>
        <v/>
      </c>
      <c r="N56" s="23">
        <f>M56+1</f>
        <v/>
      </c>
      <c r="O56" s="23">
        <f>N56+1</f>
        <v/>
      </c>
    </row>
    <row r="57">
      <c r="B57" s="7" t="inlineStr">
        <is>
          <t>Profit / (Loss) before tax</t>
        </is>
      </c>
      <c r="H57" s="34">
        <f>PL!H19</f>
        <v/>
      </c>
      <c r="I57" s="34">
        <f>PL!I19</f>
        <v/>
      </c>
      <c r="J57" s="34">
        <f>PL!J19</f>
        <v/>
      </c>
      <c r="K57" s="34">
        <f>PL!K19</f>
        <v/>
      </c>
      <c r="L57" s="34">
        <f>PL!L19</f>
        <v/>
      </c>
      <c r="M57" s="34">
        <f>PL!M19</f>
        <v/>
      </c>
      <c r="N57" s="34">
        <f>PL!N19</f>
        <v/>
      </c>
      <c r="O57" s="34">
        <f>PL!O19</f>
        <v/>
      </c>
    </row>
    <row r="58">
      <c r="B58" s="7" t="inlineStr">
        <is>
          <t>Opening carry-forward losses</t>
        </is>
      </c>
      <c r="G58" s="30" t="n">
        <v>45000</v>
      </c>
      <c r="H58" s="34">
        <f>G58</f>
        <v/>
      </c>
      <c r="I58" s="34">
        <f>H61</f>
        <v/>
      </c>
      <c r="J58" s="34">
        <f>I61</f>
        <v/>
      </c>
      <c r="K58" s="34">
        <f>J61</f>
        <v/>
      </c>
      <c r="L58" s="34">
        <f>K61</f>
        <v/>
      </c>
      <c r="M58" s="34">
        <f>L61</f>
        <v/>
      </c>
      <c r="N58" s="34">
        <f>M61</f>
        <v/>
      </c>
      <c r="O58" s="34">
        <f>N61</f>
        <v/>
      </c>
    </row>
    <row r="59">
      <c r="B59" s="7" t="inlineStr">
        <is>
          <t>Add: new losses / (Less: utilised)</t>
        </is>
      </c>
      <c r="H59" s="39">
        <f>IF(H57&lt;0,-H57,-MIN(H57,H58))</f>
        <v/>
      </c>
      <c r="I59" s="39">
        <f>IF(I57&lt;0,-I57,-MIN(I57,I58))</f>
        <v/>
      </c>
      <c r="J59" s="39">
        <f>IF(J57&lt;0,-J57,-MIN(J57,J58))</f>
        <v/>
      </c>
      <c r="K59" s="39">
        <f>IF(K57&lt;0,-K57,-MIN(K57,K58))</f>
        <v/>
      </c>
      <c r="L59" s="39">
        <f>IF(L57&lt;0,-L57,-MIN(L57,L58))</f>
        <v/>
      </c>
      <c r="M59" s="39">
        <f>IF(M57&lt;0,-M57,-MIN(M57,M58))</f>
        <v/>
      </c>
      <c r="N59" s="39">
        <f>IF(N57&lt;0,-N57,-MIN(N57,N58))</f>
        <v/>
      </c>
      <c r="O59" s="39">
        <f>IF(O57&lt;0,-O57,-MIN(O57,O58))</f>
        <v/>
      </c>
    </row>
    <row r="60">
      <c r="B60" s="7" t="inlineStr">
        <is>
          <t>Taxable profit after set-off</t>
        </is>
      </c>
      <c r="H60" s="39">
        <f>MAX(H57-H58,0)</f>
        <v/>
      </c>
      <c r="I60" s="39">
        <f>MAX(I57-I58,0)</f>
        <v/>
      </c>
      <c r="J60" s="39">
        <f>MAX(J57-J58,0)</f>
        <v/>
      </c>
      <c r="K60" s="39">
        <f>MAX(K57-K58,0)</f>
        <v/>
      </c>
      <c r="L60" s="39">
        <f>MAX(L57-L58,0)</f>
        <v/>
      </c>
      <c r="M60" s="39">
        <f>MAX(M57-M58,0)</f>
        <v/>
      </c>
      <c r="N60" s="39">
        <f>MAX(N57-N58,0)</f>
        <v/>
      </c>
      <c r="O60" s="39">
        <f>MAX(O57-O58,0)</f>
        <v/>
      </c>
    </row>
    <row r="61">
      <c r="B61" s="12" t="inlineStr">
        <is>
          <t>Closing carry-forward losses</t>
        </is>
      </c>
      <c r="H61" s="33">
        <f>H58+H59</f>
        <v/>
      </c>
      <c r="I61" s="33">
        <f>I58+I59</f>
        <v/>
      </c>
      <c r="J61" s="33">
        <f>J58+J59</f>
        <v/>
      </c>
      <c r="K61" s="33">
        <f>K58+K59</f>
        <v/>
      </c>
      <c r="L61" s="33">
        <f>L58+L59</f>
        <v/>
      </c>
      <c r="M61" s="33">
        <f>M58+M59</f>
        <v/>
      </c>
      <c r="N61" s="33">
        <f>N58+N59</f>
        <v/>
      </c>
      <c r="O61" s="33">
        <f>O58+O59</f>
        <v/>
      </c>
    </row>
    <row r="62">
      <c r="B62" s="12" t="inlineStr">
        <is>
          <t>Current tax (to P&amp;L)</t>
        </is>
      </c>
      <c r="H62" s="33">
        <f>H60*Assumptions!H47</f>
        <v/>
      </c>
      <c r="I62" s="33">
        <f>I60*Assumptions!I47</f>
        <v/>
      </c>
      <c r="J62" s="33">
        <f>J60*Assumptions!J47</f>
        <v/>
      </c>
      <c r="K62" s="33">
        <f>K60*Assumptions!K47</f>
        <v/>
      </c>
      <c r="L62" s="33">
        <f>L60*Assumptions!L47</f>
        <v/>
      </c>
      <c r="M62" s="33">
        <f>M60*Assumptions!M47</f>
        <v/>
      </c>
      <c r="N62" s="33">
        <f>N60*Assumptions!N47</f>
        <v/>
      </c>
      <c r="O62" s="33">
        <f>O60*Assumptions!O47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B2:O3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Ratio Analysis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5">
      <c r="B5" s="19" t="inlineStr">
        <is>
          <t>Profitability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B6" s="7" t="inlineStr">
        <is>
          <t>Revenue growth %</t>
        </is>
      </c>
      <c r="C6" s="37" t="inlineStr"/>
      <c r="D6" s="29">
        <f>PL!D5/PL!C5-1</f>
        <v/>
      </c>
      <c r="E6" s="29">
        <f>PL!E5/PL!D5-1</f>
        <v/>
      </c>
      <c r="F6" s="29">
        <f>PL!F5/PL!E5-1</f>
        <v/>
      </c>
      <c r="G6" s="29">
        <f>PL!G5/PL!F5-1</f>
        <v/>
      </c>
      <c r="H6" s="29">
        <f>PL!H5/PL!G5-1</f>
        <v/>
      </c>
      <c r="I6" s="29">
        <f>PL!I5/PL!H5-1</f>
        <v/>
      </c>
      <c r="J6" s="29">
        <f>PL!J5/PL!I5-1</f>
        <v/>
      </c>
      <c r="K6" s="29">
        <f>PL!K5/PL!J5-1</f>
        <v/>
      </c>
      <c r="L6" s="29">
        <f>PL!L5/PL!K5-1</f>
        <v/>
      </c>
      <c r="M6" s="29">
        <f>PL!M5/PL!L5-1</f>
        <v/>
      </c>
      <c r="N6" s="29">
        <f>PL!N5/PL!M5-1</f>
        <v/>
      </c>
      <c r="O6" s="29">
        <f>PL!O5/PL!N5-1</f>
        <v/>
      </c>
    </row>
    <row r="7">
      <c r="B7" s="7" t="inlineStr">
        <is>
          <t>Gross margin %</t>
        </is>
      </c>
      <c r="C7" s="29">
        <f>PL!C7/PL!C5</f>
        <v/>
      </c>
      <c r="D7" s="29">
        <f>PL!D7/PL!D5</f>
        <v/>
      </c>
      <c r="E7" s="29">
        <f>PL!E7/PL!E5</f>
        <v/>
      </c>
      <c r="F7" s="29">
        <f>PL!F7/PL!F5</f>
        <v/>
      </c>
      <c r="G7" s="29">
        <f>PL!G7/PL!G5</f>
        <v/>
      </c>
      <c r="H7" s="29">
        <f>PL!H7/PL!H5</f>
        <v/>
      </c>
      <c r="I7" s="29">
        <f>PL!I7/PL!I5</f>
        <v/>
      </c>
      <c r="J7" s="29">
        <f>PL!J7/PL!J5</f>
        <v/>
      </c>
      <c r="K7" s="29">
        <f>PL!K7/PL!K5</f>
        <v/>
      </c>
      <c r="L7" s="29">
        <f>PL!L7/PL!L5</f>
        <v/>
      </c>
      <c r="M7" s="29">
        <f>PL!M7/PL!M5</f>
        <v/>
      </c>
      <c r="N7" s="29">
        <f>PL!N7/PL!N5</f>
        <v/>
      </c>
      <c r="O7" s="29">
        <f>PL!O7/PL!O5</f>
        <v/>
      </c>
    </row>
    <row r="8">
      <c r="B8" s="7" t="inlineStr">
        <is>
          <t>EBITDA margin %</t>
        </is>
      </c>
      <c r="C8" s="29">
        <f>PL!C12/PL!C5</f>
        <v/>
      </c>
      <c r="D8" s="29">
        <f>PL!D12/PL!D5</f>
        <v/>
      </c>
      <c r="E8" s="29">
        <f>PL!E12/PL!E5</f>
        <v/>
      </c>
      <c r="F8" s="29">
        <f>PL!F12/PL!F5</f>
        <v/>
      </c>
      <c r="G8" s="29">
        <f>PL!G12/PL!G5</f>
        <v/>
      </c>
      <c r="H8" s="29">
        <f>PL!H12/PL!H5</f>
        <v/>
      </c>
      <c r="I8" s="29">
        <f>PL!I12/PL!I5</f>
        <v/>
      </c>
      <c r="J8" s="29">
        <f>PL!J12/PL!J5</f>
        <v/>
      </c>
      <c r="K8" s="29">
        <f>PL!K12/PL!K5</f>
        <v/>
      </c>
      <c r="L8" s="29">
        <f>PL!L12/PL!L5</f>
        <v/>
      </c>
      <c r="M8" s="29">
        <f>PL!M12/PL!M5</f>
        <v/>
      </c>
      <c r="N8" s="29">
        <f>PL!N12/PL!N5</f>
        <v/>
      </c>
      <c r="O8" s="29">
        <f>PL!O12/PL!O5</f>
        <v/>
      </c>
    </row>
    <row r="9">
      <c r="B9" s="7" t="inlineStr">
        <is>
          <t>EBIT margin %</t>
        </is>
      </c>
      <c r="C9" s="29">
        <f>PL!C14/PL!C5</f>
        <v/>
      </c>
      <c r="D9" s="29">
        <f>PL!D14/PL!D5</f>
        <v/>
      </c>
      <c r="E9" s="29">
        <f>PL!E14/PL!E5</f>
        <v/>
      </c>
      <c r="F9" s="29">
        <f>PL!F14/PL!F5</f>
        <v/>
      </c>
      <c r="G9" s="29">
        <f>PL!G14/PL!G5</f>
        <v/>
      </c>
      <c r="H9" s="29">
        <f>PL!H14/PL!H5</f>
        <v/>
      </c>
      <c r="I9" s="29">
        <f>PL!I14/PL!I5</f>
        <v/>
      </c>
      <c r="J9" s="29">
        <f>PL!J14/PL!J5</f>
        <v/>
      </c>
      <c r="K9" s="29">
        <f>PL!K14/PL!K5</f>
        <v/>
      </c>
      <c r="L9" s="29">
        <f>PL!L14/PL!L5</f>
        <v/>
      </c>
      <c r="M9" s="29">
        <f>PL!M14/PL!M5</f>
        <v/>
      </c>
      <c r="N9" s="29">
        <f>PL!N14/PL!N5</f>
        <v/>
      </c>
      <c r="O9" s="29">
        <f>PL!O14/PL!O5</f>
        <v/>
      </c>
    </row>
    <row r="10">
      <c r="B10" s="7" t="inlineStr">
        <is>
          <t>Net profit margin %</t>
        </is>
      </c>
      <c r="C10" s="29">
        <f>PL!C22/PL!C5</f>
        <v/>
      </c>
      <c r="D10" s="29">
        <f>PL!D22/PL!D5</f>
        <v/>
      </c>
      <c r="E10" s="29">
        <f>PL!E22/PL!E5</f>
        <v/>
      </c>
      <c r="F10" s="29">
        <f>PL!F22/PL!F5</f>
        <v/>
      </c>
      <c r="G10" s="29">
        <f>PL!G22/PL!G5</f>
        <v/>
      </c>
      <c r="H10" s="29">
        <f>PL!H22/PL!H5</f>
        <v/>
      </c>
      <c r="I10" s="29">
        <f>PL!I22/PL!I5</f>
        <v/>
      </c>
      <c r="J10" s="29">
        <f>PL!J22/PL!J5</f>
        <v/>
      </c>
      <c r="K10" s="29">
        <f>PL!K22/PL!K5</f>
        <v/>
      </c>
      <c r="L10" s="29">
        <f>PL!L22/PL!L5</f>
        <v/>
      </c>
      <c r="M10" s="29">
        <f>PL!M22/PL!M5</f>
        <v/>
      </c>
      <c r="N10" s="29">
        <f>PL!N22/PL!N5</f>
        <v/>
      </c>
      <c r="O10" s="29">
        <f>PL!O22/PL!O5</f>
        <v/>
      </c>
    </row>
    <row r="11">
      <c r="B11" s="7" t="inlineStr">
        <is>
          <t>Return on equity (ROE) %</t>
        </is>
      </c>
      <c r="C11" s="37" t="inlineStr"/>
      <c r="D11" s="29">
        <f>PL!D22/AVERAGE(BS!C10,BS!D10)</f>
        <v/>
      </c>
      <c r="E11" s="29">
        <f>PL!E22/AVERAGE(BS!D10,BS!E10)</f>
        <v/>
      </c>
      <c r="F11" s="29">
        <f>PL!F22/AVERAGE(BS!E10,BS!F10)</f>
        <v/>
      </c>
      <c r="G11" s="29">
        <f>PL!G22/AVERAGE(BS!F10,BS!G10)</f>
        <v/>
      </c>
      <c r="H11" s="29">
        <f>PL!H22/AVERAGE(BS!G10,BS!H10)</f>
        <v/>
      </c>
      <c r="I11" s="29">
        <f>PL!I22/AVERAGE(BS!H10,BS!I10)</f>
        <v/>
      </c>
      <c r="J11" s="29">
        <f>PL!J22/AVERAGE(BS!I10,BS!J10)</f>
        <v/>
      </c>
      <c r="K11" s="29">
        <f>PL!K22/AVERAGE(BS!J10,BS!K10)</f>
        <v/>
      </c>
      <c r="L11" s="29">
        <f>PL!L22/AVERAGE(BS!K10,BS!L10)</f>
        <v/>
      </c>
      <c r="M11" s="29">
        <f>PL!M22/AVERAGE(BS!L10,BS!M10)</f>
        <v/>
      </c>
      <c r="N11" s="29">
        <f>PL!N22/AVERAGE(BS!M10,BS!N10)</f>
        <v/>
      </c>
      <c r="O11" s="29">
        <f>PL!O22/AVERAGE(BS!N10,BS!O10)</f>
        <v/>
      </c>
    </row>
    <row r="12">
      <c r="B12" s="7" t="inlineStr">
        <is>
          <t>Return on capital employed (ROCE) %</t>
        </is>
      </c>
      <c r="C12" s="29">
        <f>PL!C14/(BS!C46-BS!C25)</f>
        <v/>
      </c>
      <c r="D12" s="29">
        <f>PL!D14/(BS!D46-BS!D25)</f>
        <v/>
      </c>
      <c r="E12" s="29">
        <f>PL!E14/(BS!E46-BS!E25)</f>
        <v/>
      </c>
      <c r="F12" s="29">
        <f>PL!F14/(BS!F46-BS!F25)</f>
        <v/>
      </c>
      <c r="G12" s="29">
        <f>PL!G14/(BS!G46-BS!G25)</f>
        <v/>
      </c>
      <c r="H12" s="29">
        <f>PL!H14/(BS!H46-BS!H25)</f>
        <v/>
      </c>
      <c r="I12" s="29">
        <f>PL!I14/(BS!I46-BS!I25)</f>
        <v/>
      </c>
      <c r="J12" s="29">
        <f>PL!J14/(BS!J46-BS!J25)</f>
        <v/>
      </c>
      <c r="K12" s="29">
        <f>PL!K14/(BS!K46-BS!K25)</f>
        <v/>
      </c>
      <c r="L12" s="29">
        <f>PL!L14/(BS!L46-BS!L25)</f>
        <v/>
      </c>
      <c r="M12" s="29">
        <f>PL!M14/(BS!M46-BS!M25)</f>
        <v/>
      </c>
      <c r="N12" s="29">
        <f>PL!N14/(BS!N46-BS!N25)</f>
        <v/>
      </c>
      <c r="O12" s="29">
        <f>PL!O14/(BS!O46-BS!O25)</f>
        <v/>
      </c>
    </row>
    <row r="13">
      <c r="B13" s="7" t="inlineStr">
        <is>
          <t>Return on invested capital (ROIC) %</t>
        </is>
      </c>
      <c r="C13" s="29">
        <f>PL!C14/(BS!C10+BS!C13+BS!C21+BS!C14+BS!C22)</f>
        <v/>
      </c>
      <c r="D13" s="29">
        <f>PL!D14/(BS!D10+BS!D13+BS!D21+BS!D14+BS!D22)</f>
        <v/>
      </c>
      <c r="E13" s="29">
        <f>PL!E14/(BS!E10+BS!E13+BS!E21+BS!E14+BS!E22)</f>
        <v/>
      </c>
      <c r="F13" s="29">
        <f>PL!F14/(BS!F10+BS!F13+BS!F21+BS!F14+BS!F22)</f>
        <v/>
      </c>
      <c r="G13" s="29">
        <f>PL!G14/(BS!G10+BS!G13+BS!G21+BS!G14+BS!G22)</f>
        <v/>
      </c>
      <c r="H13" s="29">
        <f>PL!H14/(BS!H10+BS!H13+BS!H21+BS!H14+BS!H22)</f>
        <v/>
      </c>
      <c r="I13" s="29">
        <f>PL!I14/(BS!I10+BS!I13+BS!I21+BS!I14+BS!I22)</f>
        <v/>
      </c>
      <c r="J13" s="29">
        <f>PL!J14/(BS!J10+BS!J13+BS!J21+BS!J14+BS!J22)</f>
        <v/>
      </c>
      <c r="K13" s="29">
        <f>PL!K14/(BS!K10+BS!K13+BS!K21+BS!K14+BS!K22)</f>
        <v/>
      </c>
      <c r="L13" s="29">
        <f>PL!L14/(BS!L10+BS!L13+BS!L21+BS!L14+BS!L22)</f>
        <v/>
      </c>
      <c r="M13" s="29">
        <f>PL!M14/(BS!M10+BS!M13+BS!M21+BS!M14+BS!M22)</f>
        <v/>
      </c>
      <c r="N13" s="29">
        <f>PL!N14/(BS!N10+BS!N13+BS!N21+BS!N14+BS!N22)</f>
        <v/>
      </c>
      <c r="O13" s="29">
        <f>PL!O14/(BS!O10+BS!O13+BS!O21+BS!O14+BS!O22)</f>
        <v/>
      </c>
    </row>
    <row r="15">
      <c r="B15" s="19" t="inlineStr">
        <is>
          <t>Liquidity &amp; Solvency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</row>
    <row r="16">
      <c r="B16" s="7" t="inlineStr">
        <is>
          <t>Current ratio</t>
        </is>
      </c>
      <c r="C16" s="43">
        <f>BS!C44/BS!C25</f>
        <v/>
      </c>
      <c r="D16" s="43">
        <f>BS!D44/BS!D25</f>
        <v/>
      </c>
      <c r="E16" s="43">
        <f>BS!E44/BS!E25</f>
        <v/>
      </c>
      <c r="F16" s="43">
        <f>BS!F44/BS!F25</f>
        <v/>
      </c>
      <c r="G16" s="43">
        <f>BS!G44/BS!G25</f>
        <v/>
      </c>
      <c r="H16" s="43">
        <f>BS!H44/BS!H25</f>
        <v/>
      </c>
      <c r="I16" s="43">
        <f>BS!I44/BS!I25</f>
        <v/>
      </c>
      <c r="J16" s="43">
        <f>BS!J44/BS!J25</f>
        <v/>
      </c>
      <c r="K16" s="43">
        <f>BS!K44/BS!K25</f>
        <v/>
      </c>
      <c r="L16" s="43">
        <f>BS!L44/BS!L25</f>
        <v/>
      </c>
      <c r="M16" s="43">
        <f>BS!M44/BS!M25</f>
        <v/>
      </c>
      <c r="N16" s="43">
        <f>BS!N44/BS!N25</f>
        <v/>
      </c>
      <c r="O16" s="43">
        <f>BS!O44/BS!O25</f>
        <v/>
      </c>
    </row>
    <row r="17">
      <c r="B17" s="7" t="inlineStr">
        <is>
          <t>Quick ratio</t>
        </is>
      </c>
      <c r="C17" s="43">
        <f>(BS!C44-BS!C41)/BS!C25</f>
        <v/>
      </c>
      <c r="D17" s="43">
        <f>(BS!D44-BS!D41)/BS!D25</f>
        <v/>
      </c>
      <c r="E17" s="43">
        <f>(BS!E44-BS!E41)/BS!E25</f>
        <v/>
      </c>
      <c r="F17" s="43">
        <f>(BS!F44-BS!F41)/BS!F25</f>
        <v/>
      </c>
      <c r="G17" s="43">
        <f>(BS!G44-BS!G41)/BS!G25</f>
        <v/>
      </c>
      <c r="H17" s="43">
        <f>(BS!H44-BS!H41)/BS!H25</f>
        <v/>
      </c>
      <c r="I17" s="43">
        <f>(BS!I44-BS!I41)/BS!I25</f>
        <v/>
      </c>
      <c r="J17" s="43">
        <f>(BS!J44-BS!J41)/BS!J25</f>
        <v/>
      </c>
      <c r="K17" s="43">
        <f>(BS!K44-BS!K41)/BS!K25</f>
        <v/>
      </c>
      <c r="L17" s="43">
        <f>(BS!L44-BS!L41)/BS!L25</f>
        <v/>
      </c>
      <c r="M17" s="43">
        <f>(BS!M44-BS!M41)/BS!M25</f>
        <v/>
      </c>
      <c r="N17" s="43">
        <f>(BS!N44-BS!N41)/BS!N25</f>
        <v/>
      </c>
      <c r="O17" s="43">
        <f>(BS!O44-BS!O41)/BS!O25</f>
        <v/>
      </c>
    </row>
    <row r="18">
      <c r="B18" s="7" t="inlineStr">
        <is>
          <t>Debt-to-equity (incl. leases)</t>
        </is>
      </c>
      <c r="C18" s="43">
        <f>(BS!C13+BS!C21+BS!C14+BS!C22)/BS!C10</f>
        <v/>
      </c>
      <c r="D18" s="43">
        <f>(BS!D13+BS!D21+BS!D14+BS!D22)/BS!D10</f>
        <v/>
      </c>
      <c r="E18" s="43">
        <f>(BS!E13+BS!E21+BS!E14+BS!E22)/BS!E10</f>
        <v/>
      </c>
      <c r="F18" s="43">
        <f>(BS!F13+BS!F21+BS!F14+BS!F22)/BS!F10</f>
        <v/>
      </c>
      <c r="G18" s="43">
        <f>(BS!G13+BS!G21+BS!G14+BS!G22)/BS!G10</f>
        <v/>
      </c>
      <c r="H18" s="43">
        <f>(BS!H13+BS!H21+BS!H14+BS!H22)/BS!H10</f>
        <v/>
      </c>
      <c r="I18" s="43">
        <f>(BS!I13+BS!I21+BS!I14+BS!I22)/BS!I10</f>
        <v/>
      </c>
      <c r="J18" s="43">
        <f>(BS!J13+BS!J21+BS!J14+BS!J22)/BS!J10</f>
        <v/>
      </c>
      <c r="K18" s="43">
        <f>(BS!K13+BS!K21+BS!K14+BS!K22)/BS!K10</f>
        <v/>
      </c>
      <c r="L18" s="43">
        <f>(BS!L13+BS!L21+BS!L14+BS!L22)/BS!L10</f>
        <v/>
      </c>
      <c r="M18" s="43">
        <f>(BS!M13+BS!M21+BS!M14+BS!M22)/BS!M10</f>
        <v/>
      </c>
      <c r="N18" s="43">
        <f>(BS!N13+BS!N21+BS!N14+BS!N22)/BS!N10</f>
        <v/>
      </c>
      <c r="O18" s="43">
        <f>(BS!O13+BS!O21+BS!O14+BS!O22)/BS!O10</f>
        <v/>
      </c>
    </row>
    <row r="19">
      <c r="B19" s="7" t="inlineStr">
        <is>
          <t>Net debt / EBITDA</t>
        </is>
      </c>
      <c r="C19" s="43">
        <f>(BS!C13+BS!C21+BS!C14+BS!C22-BS!C43)/PL!C12</f>
        <v/>
      </c>
      <c r="D19" s="43">
        <f>(BS!D13+BS!D21+BS!D14+BS!D22-BS!D43)/PL!D12</f>
        <v/>
      </c>
      <c r="E19" s="43">
        <f>(BS!E13+BS!E21+BS!E14+BS!E22-BS!E43)/PL!E12</f>
        <v/>
      </c>
      <c r="F19" s="43">
        <f>(BS!F13+BS!F21+BS!F14+BS!F22-BS!F43)/PL!F12</f>
        <v/>
      </c>
      <c r="G19" s="43">
        <f>(BS!G13+BS!G21+BS!G14+BS!G22-BS!G43)/PL!G12</f>
        <v/>
      </c>
      <c r="H19" s="43">
        <f>(BS!H13+BS!H21+BS!H14+BS!H22-BS!H43)/PL!H12</f>
        <v/>
      </c>
      <c r="I19" s="43">
        <f>(BS!I13+BS!I21+BS!I14+BS!I22-BS!I43)/PL!I12</f>
        <v/>
      </c>
      <c r="J19" s="43">
        <f>(BS!J13+BS!J21+BS!J14+BS!J22-BS!J43)/PL!J12</f>
        <v/>
      </c>
      <c r="K19" s="43">
        <f>(BS!K13+BS!K21+BS!K14+BS!K22-BS!K43)/PL!K12</f>
        <v/>
      </c>
      <c r="L19" s="43">
        <f>(BS!L13+BS!L21+BS!L14+BS!L22-BS!L43)/PL!L12</f>
        <v/>
      </c>
      <c r="M19" s="43">
        <f>(BS!M13+BS!M21+BS!M14+BS!M22-BS!M43)/PL!M12</f>
        <v/>
      </c>
      <c r="N19" s="43">
        <f>(BS!N13+BS!N21+BS!N14+BS!N22-BS!N43)/PL!N12</f>
        <v/>
      </c>
      <c r="O19" s="43">
        <f>(BS!O13+BS!O21+BS!O14+BS!O22-BS!O43)/PL!O12</f>
        <v/>
      </c>
    </row>
    <row r="20">
      <c r="B20" s="7" t="inlineStr">
        <is>
          <t>Interest coverage (EBIT/Interest)</t>
        </is>
      </c>
      <c r="C20" s="43">
        <f>PL!C14/-PL!C17</f>
        <v/>
      </c>
      <c r="D20" s="43">
        <f>PL!D14/-PL!D17</f>
        <v/>
      </c>
      <c r="E20" s="43">
        <f>PL!E14/-PL!E17</f>
        <v/>
      </c>
      <c r="F20" s="43">
        <f>PL!F14/-PL!F17</f>
        <v/>
      </c>
      <c r="G20" s="43">
        <f>PL!G14/-PL!G17</f>
        <v/>
      </c>
      <c r="H20" s="43">
        <f>PL!H14/-PL!H17</f>
        <v/>
      </c>
      <c r="I20" s="43">
        <f>PL!I14/-PL!I17</f>
        <v/>
      </c>
      <c r="J20" s="43">
        <f>PL!J14/-PL!J17</f>
        <v/>
      </c>
      <c r="K20" s="43">
        <f>PL!K14/-PL!K17</f>
        <v/>
      </c>
      <c r="L20" s="43">
        <f>PL!L14/-PL!L17</f>
        <v/>
      </c>
      <c r="M20" s="43">
        <f>PL!M14/-PL!M17</f>
        <v/>
      </c>
      <c r="N20" s="43">
        <f>PL!N14/-PL!N17</f>
        <v/>
      </c>
      <c r="O20" s="43">
        <f>PL!O14/-PL!O17</f>
        <v/>
      </c>
    </row>
    <row r="22">
      <c r="B22" s="19" t="inlineStr">
        <is>
          <t>Efficiency / Working Capital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</row>
    <row r="23">
      <c r="B23" s="7" t="inlineStr">
        <is>
          <t>Asset turnover (x)</t>
        </is>
      </c>
      <c r="C23" s="44" t="inlineStr"/>
      <c r="D23" s="43">
        <f>PL!D5/AVERAGE(BS!C46,BS!D46)</f>
        <v/>
      </c>
      <c r="E23" s="43">
        <f>PL!E5/AVERAGE(BS!D46,BS!E46)</f>
        <v/>
      </c>
      <c r="F23" s="43">
        <f>PL!F5/AVERAGE(BS!E46,BS!F46)</f>
        <v/>
      </c>
      <c r="G23" s="43">
        <f>PL!G5/AVERAGE(BS!F46,BS!G46)</f>
        <v/>
      </c>
      <c r="H23" s="43">
        <f>PL!H5/AVERAGE(BS!G46,BS!H46)</f>
        <v/>
      </c>
      <c r="I23" s="43">
        <f>PL!I5/AVERAGE(BS!H46,BS!I46)</f>
        <v/>
      </c>
      <c r="J23" s="43">
        <f>PL!J5/AVERAGE(BS!I46,BS!J46)</f>
        <v/>
      </c>
      <c r="K23" s="43">
        <f>PL!K5/AVERAGE(BS!J46,BS!K46)</f>
        <v/>
      </c>
      <c r="L23" s="43">
        <f>PL!L5/AVERAGE(BS!K46,BS!L46)</f>
        <v/>
      </c>
      <c r="M23" s="43">
        <f>PL!M5/AVERAGE(BS!L46,BS!M46)</f>
        <v/>
      </c>
      <c r="N23" s="43">
        <f>PL!N5/AVERAGE(BS!M46,BS!N46)</f>
        <v/>
      </c>
      <c r="O23" s="43">
        <f>PL!O5/AVERAGE(BS!N46,BS!O46)</f>
        <v/>
      </c>
    </row>
    <row r="24">
      <c r="B24" s="7" t="inlineStr">
        <is>
          <t>Fixed-asset turnover (x)</t>
        </is>
      </c>
      <c r="C24" s="44" t="inlineStr"/>
      <c r="D24" s="43">
        <f>PL!D5/AVERAGE(BS!C35,BS!D35)</f>
        <v/>
      </c>
      <c r="E24" s="43">
        <f>PL!E5/AVERAGE(BS!D35,BS!E35)</f>
        <v/>
      </c>
      <c r="F24" s="43">
        <f>PL!F5/AVERAGE(BS!E35,BS!F35)</f>
        <v/>
      </c>
      <c r="G24" s="43">
        <f>PL!G5/AVERAGE(BS!F35,BS!G35)</f>
        <v/>
      </c>
      <c r="H24" s="43">
        <f>PL!H5/AVERAGE(BS!G35,BS!H35)</f>
        <v/>
      </c>
      <c r="I24" s="43">
        <f>PL!I5/AVERAGE(BS!H35,BS!I35)</f>
        <v/>
      </c>
      <c r="J24" s="43">
        <f>PL!J5/AVERAGE(BS!I35,BS!J35)</f>
        <v/>
      </c>
      <c r="K24" s="43">
        <f>PL!K5/AVERAGE(BS!J35,BS!K35)</f>
        <v/>
      </c>
      <c r="L24" s="43">
        <f>PL!L5/AVERAGE(BS!K35,BS!L35)</f>
        <v/>
      </c>
      <c r="M24" s="43">
        <f>PL!M5/AVERAGE(BS!L35,BS!M35)</f>
        <v/>
      </c>
      <c r="N24" s="43">
        <f>PL!N5/AVERAGE(BS!M35,BS!N35)</f>
        <v/>
      </c>
      <c r="O24" s="43">
        <f>PL!O5/AVERAGE(BS!N35,BS!O35)</f>
        <v/>
      </c>
    </row>
    <row r="25">
      <c r="B25" s="7" t="inlineStr">
        <is>
          <t>Receivable days</t>
        </is>
      </c>
      <c r="C25" s="45" t="inlineStr"/>
      <c r="D25" s="46">
        <f>'Working Capital Schedule'!D10</f>
        <v/>
      </c>
      <c r="E25" s="46">
        <f>'Working Capital Schedule'!E10</f>
        <v/>
      </c>
      <c r="F25" s="46">
        <f>'Working Capital Schedule'!F10</f>
        <v/>
      </c>
      <c r="G25" s="46">
        <f>'Working Capital Schedule'!G10</f>
        <v/>
      </c>
      <c r="H25" s="46">
        <f>'Working Capital Schedule'!H10</f>
        <v/>
      </c>
      <c r="I25" s="46">
        <f>'Working Capital Schedule'!I10</f>
        <v/>
      </c>
      <c r="J25" s="46">
        <f>'Working Capital Schedule'!J10</f>
        <v/>
      </c>
      <c r="K25" s="46">
        <f>'Working Capital Schedule'!K10</f>
        <v/>
      </c>
      <c r="L25" s="46">
        <f>'Working Capital Schedule'!L10</f>
        <v/>
      </c>
      <c r="M25" s="46">
        <f>'Working Capital Schedule'!M10</f>
        <v/>
      </c>
      <c r="N25" s="46">
        <f>'Working Capital Schedule'!N10</f>
        <v/>
      </c>
      <c r="O25" s="46">
        <f>'Working Capital Schedule'!O10</f>
        <v/>
      </c>
    </row>
    <row r="26">
      <c r="B26" s="7" t="inlineStr">
        <is>
          <t>Inventory days</t>
        </is>
      </c>
      <c r="C26" s="45" t="inlineStr"/>
      <c r="D26" s="46">
        <f>'Working Capital Schedule'!D13</f>
        <v/>
      </c>
      <c r="E26" s="46">
        <f>'Working Capital Schedule'!E13</f>
        <v/>
      </c>
      <c r="F26" s="46">
        <f>'Working Capital Schedule'!F13</f>
        <v/>
      </c>
      <c r="G26" s="46">
        <f>'Working Capital Schedule'!G13</f>
        <v/>
      </c>
      <c r="H26" s="46">
        <f>'Working Capital Schedule'!H13</f>
        <v/>
      </c>
      <c r="I26" s="46">
        <f>'Working Capital Schedule'!I13</f>
        <v/>
      </c>
      <c r="J26" s="46">
        <f>'Working Capital Schedule'!J13</f>
        <v/>
      </c>
      <c r="K26" s="46">
        <f>'Working Capital Schedule'!K13</f>
        <v/>
      </c>
      <c r="L26" s="46">
        <f>'Working Capital Schedule'!L13</f>
        <v/>
      </c>
      <c r="M26" s="46">
        <f>'Working Capital Schedule'!M13</f>
        <v/>
      </c>
      <c r="N26" s="46">
        <f>'Working Capital Schedule'!N13</f>
        <v/>
      </c>
      <c r="O26" s="46">
        <f>'Working Capital Schedule'!O13</f>
        <v/>
      </c>
    </row>
    <row r="27">
      <c r="B27" s="7" t="inlineStr">
        <is>
          <t>Payable days</t>
        </is>
      </c>
      <c r="C27" s="45" t="inlineStr"/>
      <c r="D27" s="46">
        <f>'Working Capital Schedule'!D16</f>
        <v/>
      </c>
      <c r="E27" s="46">
        <f>'Working Capital Schedule'!E16</f>
        <v/>
      </c>
      <c r="F27" s="46">
        <f>'Working Capital Schedule'!F16</f>
        <v/>
      </c>
      <c r="G27" s="46">
        <f>'Working Capital Schedule'!G16</f>
        <v/>
      </c>
      <c r="H27" s="46">
        <f>'Working Capital Schedule'!H16</f>
        <v/>
      </c>
      <c r="I27" s="46">
        <f>'Working Capital Schedule'!I16</f>
        <v/>
      </c>
      <c r="J27" s="46">
        <f>'Working Capital Schedule'!J16</f>
        <v/>
      </c>
      <c r="K27" s="46">
        <f>'Working Capital Schedule'!K16</f>
        <v/>
      </c>
      <c r="L27" s="46">
        <f>'Working Capital Schedule'!L16</f>
        <v/>
      </c>
      <c r="M27" s="46">
        <f>'Working Capital Schedule'!M16</f>
        <v/>
      </c>
      <c r="N27" s="46">
        <f>'Working Capital Schedule'!N16</f>
        <v/>
      </c>
      <c r="O27" s="46">
        <f>'Working Capital Schedule'!O16</f>
        <v/>
      </c>
    </row>
    <row r="28">
      <c r="B28" s="7" t="inlineStr">
        <is>
          <t>Cash conversion cycle (days)</t>
        </is>
      </c>
      <c r="C28" s="45" t="inlineStr"/>
      <c r="D28" s="46">
        <f>'Working Capital Schedule'!D10+'Working Capital Schedule'!D13-'Working Capital Schedule'!D16</f>
        <v/>
      </c>
      <c r="E28" s="46">
        <f>'Working Capital Schedule'!E10+'Working Capital Schedule'!E13-'Working Capital Schedule'!E16</f>
        <v/>
      </c>
      <c r="F28" s="46">
        <f>'Working Capital Schedule'!F10+'Working Capital Schedule'!F13-'Working Capital Schedule'!F16</f>
        <v/>
      </c>
      <c r="G28" s="46">
        <f>'Working Capital Schedule'!G10+'Working Capital Schedule'!G13-'Working Capital Schedule'!G16</f>
        <v/>
      </c>
      <c r="H28" s="46">
        <f>'Working Capital Schedule'!H10+'Working Capital Schedule'!H13-'Working Capital Schedule'!H16</f>
        <v/>
      </c>
      <c r="I28" s="46">
        <f>'Working Capital Schedule'!I10+'Working Capital Schedule'!I13-'Working Capital Schedule'!I16</f>
        <v/>
      </c>
      <c r="J28" s="46">
        <f>'Working Capital Schedule'!J10+'Working Capital Schedule'!J13-'Working Capital Schedule'!J16</f>
        <v/>
      </c>
      <c r="K28" s="46">
        <f>'Working Capital Schedule'!K10+'Working Capital Schedule'!K13-'Working Capital Schedule'!K16</f>
        <v/>
      </c>
      <c r="L28" s="46">
        <f>'Working Capital Schedule'!L10+'Working Capital Schedule'!L13-'Working Capital Schedule'!L16</f>
        <v/>
      </c>
      <c r="M28" s="46">
        <f>'Working Capital Schedule'!M10+'Working Capital Schedule'!M13-'Working Capital Schedule'!M16</f>
        <v/>
      </c>
      <c r="N28" s="46">
        <f>'Working Capital Schedule'!N10+'Working Capital Schedule'!N13-'Working Capital Schedule'!N16</f>
        <v/>
      </c>
      <c r="O28" s="46">
        <f>'Working Capital Schedule'!O10+'Working Capital Schedule'!O13-'Working Capital Schedule'!O16</f>
        <v/>
      </c>
    </row>
    <row r="30">
      <c r="B30" s="19" t="inlineStr">
        <is>
          <t>Cash Flow &amp; Per-share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</row>
    <row r="31">
      <c r="B31" s="7" t="inlineStr">
        <is>
          <t>CFO / Revenue %</t>
        </is>
      </c>
      <c r="C31" s="29">
        <f>CS!C13/PL!C5</f>
        <v/>
      </c>
      <c r="D31" s="29">
        <f>CS!D13/PL!D5</f>
        <v/>
      </c>
      <c r="E31" s="29">
        <f>CS!E13/PL!E5</f>
        <v/>
      </c>
      <c r="F31" s="29">
        <f>CS!F13/PL!F5</f>
        <v/>
      </c>
      <c r="G31" s="29">
        <f>CS!G13/PL!G5</f>
        <v/>
      </c>
      <c r="H31" s="29">
        <f>CS!H13/PL!H5</f>
        <v/>
      </c>
      <c r="I31" s="29">
        <f>CS!I13/PL!I5</f>
        <v/>
      </c>
      <c r="J31" s="29">
        <f>CS!J13/PL!J5</f>
        <v/>
      </c>
      <c r="K31" s="29">
        <f>CS!K13/PL!K5</f>
        <v/>
      </c>
      <c r="L31" s="29">
        <f>CS!L13/PL!L5</f>
        <v/>
      </c>
      <c r="M31" s="29">
        <f>CS!M13/PL!M5</f>
        <v/>
      </c>
      <c r="N31" s="29">
        <f>CS!N13/PL!N5</f>
        <v/>
      </c>
      <c r="O31" s="29">
        <f>CS!O13/PL!O5</f>
        <v/>
      </c>
    </row>
    <row r="32">
      <c r="B32" s="7" t="inlineStr">
        <is>
          <t>Free cash flow (INR m)</t>
        </is>
      </c>
      <c r="C32" s="34">
        <f>CS!C13+CS!C16+CS!C17</f>
        <v/>
      </c>
      <c r="D32" s="34">
        <f>CS!D13+CS!D16+CS!D17</f>
        <v/>
      </c>
      <c r="E32" s="34">
        <f>CS!E13+CS!E16+CS!E17</f>
        <v/>
      </c>
      <c r="F32" s="34">
        <f>CS!F13+CS!F16+CS!F17</f>
        <v/>
      </c>
      <c r="G32" s="34">
        <f>CS!G13+CS!G16+CS!G17</f>
        <v/>
      </c>
      <c r="H32" s="34">
        <f>CS!H13+CS!H16+CS!H17</f>
        <v/>
      </c>
      <c r="I32" s="34">
        <f>CS!I13+CS!I16+CS!I17</f>
        <v/>
      </c>
      <c r="J32" s="34">
        <f>CS!J13+CS!J16+CS!J17</f>
        <v/>
      </c>
      <c r="K32" s="34">
        <f>CS!K13+CS!K16+CS!K17</f>
        <v/>
      </c>
      <c r="L32" s="34">
        <f>CS!L13+CS!L16+CS!L17</f>
        <v/>
      </c>
      <c r="M32" s="34">
        <f>CS!M13+CS!M16+CS!M17</f>
        <v/>
      </c>
      <c r="N32" s="34">
        <f>CS!N13+CS!N16+CS!N17</f>
        <v/>
      </c>
      <c r="O32" s="34">
        <f>CS!O13+CS!O16+CS!O17</f>
        <v/>
      </c>
    </row>
    <row r="34">
      <c r="B34" s="7" t="inlineStr">
        <is>
          <t>Shares outstanding (m)</t>
        </is>
      </c>
      <c r="C34" s="27" t="n">
        <v>290.6</v>
      </c>
      <c r="D34" s="27" t="n">
        <v>290.6</v>
      </c>
      <c r="E34" s="27" t="n">
        <v>290.6</v>
      </c>
      <c r="F34" s="27" t="n">
        <v>290.6</v>
      </c>
      <c r="G34" s="27" t="n">
        <v>290.6</v>
      </c>
      <c r="H34" s="27" t="n">
        <v>372</v>
      </c>
      <c r="I34" s="27" t="n">
        <v>372</v>
      </c>
      <c r="J34" s="27" t="n">
        <v>372</v>
      </c>
      <c r="K34" s="27" t="n">
        <v>372</v>
      </c>
      <c r="L34" s="27" t="n">
        <v>372</v>
      </c>
      <c r="M34" s="27" t="n">
        <v>372</v>
      </c>
      <c r="N34" s="27" t="n">
        <v>372</v>
      </c>
      <c r="O34" s="27" t="n">
        <v>372</v>
      </c>
    </row>
    <row r="35">
      <c r="B35" s="7" t="inlineStr">
        <is>
          <t>EPS (INR)</t>
        </is>
      </c>
      <c r="C35" s="47">
        <f>PL!C22/C34</f>
        <v/>
      </c>
      <c r="D35" s="47">
        <f>PL!D22/D34</f>
        <v/>
      </c>
      <c r="E35" s="47">
        <f>PL!E22/E34</f>
        <v/>
      </c>
      <c r="F35" s="47">
        <f>PL!F22/F34</f>
        <v/>
      </c>
      <c r="G35" s="47">
        <f>PL!G22/G34</f>
        <v/>
      </c>
      <c r="H35" s="47">
        <f>PL!H22/H34</f>
        <v/>
      </c>
      <c r="I35" s="47">
        <f>PL!I22/I34</f>
        <v/>
      </c>
      <c r="J35" s="47">
        <f>PL!J22/J34</f>
        <v/>
      </c>
      <c r="K35" s="47">
        <f>PL!K22/K34</f>
        <v/>
      </c>
      <c r="L35" s="47">
        <f>PL!L22/L34</f>
        <v/>
      </c>
      <c r="M35" s="47">
        <f>PL!M22/M34</f>
        <v/>
      </c>
      <c r="N35" s="47">
        <f>PL!N22/N34</f>
        <v/>
      </c>
      <c r="O35" s="47">
        <f>PL!O22/O34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B2:O2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Ather Energy Ltd — Integrity &amp; Error Checks</t>
        </is>
      </c>
    </row>
    <row r="3">
      <c r="B3" s="3" t="inlineStr">
        <is>
          <t>Every check should read PASS. Tolerance = 0.5 (INR m).</t>
        </is>
      </c>
    </row>
    <row r="4">
      <c r="B4" s="21" t="inlineStr">
        <is>
          <t>Particulars</t>
        </is>
      </c>
      <c r="C4" s="22" t="n">
        <v>2021</v>
      </c>
      <c r="D4" s="22">
        <f>C4+1</f>
        <v/>
      </c>
      <c r="E4" s="22">
        <f>D4+1</f>
        <v/>
      </c>
      <c r="F4" s="22">
        <f>E4+1</f>
        <v/>
      </c>
      <c r="G4" s="22">
        <f>F4+1</f>
        <v/>
      </c>
      <c r="H4" s="23">
        <f>G4+1</f>
        <v/>
      </c>
      <c r="I4" s="23">
        <f>H4+1</f>
        <v/>
      </c>
      <c r="J4" s="23">
        <f>I4+1</f>
        <v/>
      </c>
      <c r="K4" s="23">
        <f>J4+1</f>
        <v/>
      </c>
      <c r="L4" s="23">
        <f>K4+1</f>
        <v/>
      </c>
      <c r="M4" s="23">
        <f>L4+1</f>
        <v/>
      </c>
      <c r="N4" s="23">
        <f>M4+1</f>
        <v/>
      </c>
      <c r="O4" s="23">
        <f>N4+1</f>
        <v/>
      </c>
    </row>
    <row r="5">
      <c r="B5" s="19" t="inlineStr">
        <is>
          <t>Balance sheet integrity</t>
        </is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B6" s="7" t="inlineStr">
        <is>
          <t>Balance sheet balances (Assets = Equity + Liab.)</t>
        </is>
      </c>
      <c r="C6" s="48">
        <f>IF(ABS(BS!C48)&lt;0.5,"PASS","FAIL")</f>
        <v/>
      </c>
      <c r="D6" s="48">
        <f>IF(ABS(BS!D48)&lt;0.5,"PASS","FAIL")</f>
        <v/>
      </c>
      <c r="E6" s="48">
        <f>IF(ABS(BS!E48)&lt;0.5,"PASS","FAIL")</f>
        <v/>
      </c>
      <c r="F6" s="48">
        <f>IF(ABS(BS!F48)&lt;0.5,"PASS","FAIL")</f>
        <v/>
      </c>
      <c r="G6" s="48">
        <f>IF(ABS(BS!G48)&lt;0.5,"PASS","FAIL")</f>
        <v/>
      </c>
      <c r="H6" s="48">
        <f>IF(ABS(BS!H48)&lt;0.5,"PASS","FAIL")</f>
        <v/>
      </c>
      <c r="I6" s="48">
        <f>IF(ABS(BS!I48)&lt;0.5,"PASS","FAIL")</f>
        <v/>
      </c>
      <c r="J6" s="48">
        <f>IF(ABS(BS!J48)&lt;0.5,"PASS","FAIL")</f>
        <v/>
      </c>
      <c r="K6" s="48">
        <f>IF(ABS(BS!K48)&lt;0.5,"PASS","FAIL")</f>
        <v/>
      </c>
      <c r="L6" s="48">
        <f>IF(ABS(BS!L48)&lt;0.5,"PASS","FAIL")</f>
        <v/>
      </c>
      <c r="M6" s="48">
        <f>IF(ABS(BS!M48)&lt;0.5,"PASS","FAIL")</f>
        <v/>
      </c>
      <c r="N6" s="48">
        <f>IF(ABS(BS!N48)&lt;0.5,"PASS","FAIL")</f>
        <v/>
      </c>
      <c r="O6" s="48">
        <f>IF(ABS(BS!O48)&lt;0.5,"PASS","FAIL")</f>
        <v/>
      </c>
    </row>
    <row r="7">
      <c r="B7" s="7" t="inlineStr">
        <is>
          <t>Total assets reconcile (NCA + CA)</t>
        </is>
      </c>
      <c r="C7" s="48">
        <f>IF(ABS(BS!C46-BS!C37-BS!C44)&lt;0.5,"PASS","FAIL")</f>
        <v/>
      </c>
      <c r="D7" s="48">
        <f>IF(ABS(BS!D46-BS!D37-BS!D44)&lt;0.5,"PASS","FAIL")</f>
        <v/>
      </c>
      <c r="E7" s="48">
        <f>IF(ABS(BS!E46-BS!E37-BS!E44)&lt;0.5,"PASS","FAIL")</f>
        <v/>
      </c>
      <c r="F7" s="48">
        <f>IF(ABS(BS!F46-BS!F37-BS!F44)&lt;0.5,"PASS","FAIL")</f>
        <v/>
      </c>
      <c r="G7" s="48">
        <f>IF(ABS(BS!G46-BS!G37-BS!G44)&lt;0.5,"PASS","FAIL")</f>
        <v/>
      </c>
      <c r="H7" s="48">
        <f>IF(ABS(BS!H46-BS!H37-BS!H44)&lt;0.5,"PASS","FAIL")</f>
        <v/>
      </c>
      <c r="I7" s="48">
        <f>IF(ABS(BS!I46-BS!I37-BS!I44)&lt;0.5,"PASS","FAIL")</f>
        <v/>
      </c>
      <c r="J7" s="48">
        <f>IF(ABS(BS!J46-BS!J37-BS!J44)&lt;0.5,"PASS","FAIL")</f>
        <v/>
      </c>
      <c r="K7" s="48">
        <f>IF(ABS(BS!K46-BS!K37-BS!K44)&lt;0.5,"PASS","FAIL")</f>
        <v/>
      </c>
      <c r="L7" s="48">
        <f>IF(ABS(BS!L46-BS!L37-BS!L44)&lt;0.5,"PASS","FAIL")</f>
        <v/>
      </c>
      <c r="M7" s="48">
        <f>IF(ABS(BS!M46-BS!M37-BS!M44)&lt;0.5,"PASS","FAIL")</f>
        <v/>
      </c>
      <c r="N7" s="48">
        <f>IF(ABS(BS!N46-BS!N37-BS!N44)&lt;0.5,"PASS","FAIL")</f>
        <v/>
      </c>
      <c r="O7" s="48">
        <f>IF(ABS(BS!O46-BS!O37-BS!O44)&lt;0.5,"PASS","FAIL")</f>
        <v/>
      </c>
    </row>
    <row r="9">
      <c r="B9" s="19" t="inlineStr">
        <is>
          <t>Cash flow integrity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>
      <c r="B10" s="7" t="inlineStr">
        <is>
          <t>BS cash = Cash-flow closing cash</t>
        </is>
      </c>
      <c r="C10" s="48">
        <f>IF(ABS(BS!C43-CS!C30)&lt;0.5,"PASS","FAIL")</f>
        <v/>
      </c>
      <c r="D10" s="48">
        <f>IF(ABS(BS!D43-CS!D30)&lt;0.5,"PASS","FAIL")</f>
        <v/>
      </c>
      <c r="E10" s="48">
        <f>IF(ABS(BS!E43-CS!E30)&lt;0.5,"PASS","FAIL")</f>
        <v/>
      </c>
      <c r="F10" s="48">
        <f>IF(ABS(BS!F43-CS!F30)&lt;0.5,"PASS","FAIL")</f>
        <v/>
      </c>
      <c r="G10" s="48">
        <f>IF(ABS(BS!G43-CS!G30)&lt;0.5,"PASS","FAIL")</f>
        <v/>
      </c>
      <c r="H10" s="48">
        <f>IF(ABS(BS!H43-CS!H30)&lt;0.5,"PASS","FAIL")</f>
        <v/>
      </c>
      <c r="I10" s="48">
        <f>IF(ABS(BS!I43-CS!I30)&lt;0.5,"PASS","FAIL")</f>
        <v/>
      </c>
      <c r="J10" s="48">
        <f>IF(ABS(BS!J43-CS!J30)&lt;0.5,"PASS","FAIL")</f>
        <v/>
      </c>
      <c r="K10" s="48">
        <f>IF(ABS(BS!K43-CS!K30)&lt;0.5,"PASS","FAIL")</f>
        <v/>
      </c>
      <c r="L10" s="48">
        <f>IF(ABS(BS!L43-CS!L30)&lt;0.5,"PASS","FAIL")</f>
        <v/>
      </c>
      <c r="M10" s="48">
        <f>IF(ABS(BS!M43-CS!M30)&lt;0.5,"PASS","FAIL")</f>
        <v/>
      </c>
      <c r="N10" s="48">
        <f>IF(ABS(BS!N43-CS!N30)&lt;0.5,"PASS","FAIL")</f>
        <v/>
      </c>
      <c r="O10" s="48">
        <f>IF(ABS(BS!O43-CS!O30)&lt;0.5,"PASS","FAIL")</f>
        <v/>
      </c>
    </row>
    <row r="11">
      <c r="B11" s="7" t="inlineStr">
        <is>
          <t>Opening cash (t) = Closing cash (t-1)</t>
        </is>
      </c>
      <c r="D11" s="48">
        <f>IF(ABS(CS!D29-CS!C30)&lt;0.5,"PASS","FAIL")</f>
        <v/>
      </c>
      <c r="E11" s="48">
        <f>IF(ABS(CS!E29-CS!D30)&lt;0.5,"PASS","FAIL")</f>
        <v/>
      </c>
      <c r="F11" s="48">
        <f>IF(ABS(CS!F29-CS!E30)&lt;0.5,"PASS","FAIL")</f>
        <v/>
      </c>
      <c r="G11" s="48">
        <f>IF(ABS(CS!G29-CS!F30)&lt;0.5,"PASS","FAIL")</f>
        <v/>
      </c>
      <c r="H11" s="48">
        <f>IF(ABS(CS!H29-CS!G30)&lt;0.5,"PASS","FAIL")</f>
        <v/>
      </c>
      <c r="I11" s="48">
        <f>IF(ABS(CS!I29-CS!H30)&lt;0.5,"PASS","FAIL")</f>
        <v/>
      </c>
      <c r="J11" s="48">
        <f>IF(ABS(CS!J29-CS!I30)&lt;0.5,"PASS","FAIL")</f>
        <v/>
      </c>
      <c r="K11" s="48">
        <f>IF(ABS(CS!K29-CS!J30)&lt;0.5,"PASS","FAIL")</f>
        <v/>
      </c>
      <c r="L11" s="48">
        <f>IF(ABS(CS!L29-CS!K30)&lt;0.5,"PASS","FAIL")</f>
        <v/>
      </c>
      <c r="M11" s="48">
        <f>IF(ABS(CS!M29-CS!L30)&lt;0.5,"PASS","FAIL")</f>
        <v/>
      </c>
      <c r="N11" s="48">
        <f>IF(ABS(CS!N29-CS!M30)&lt;0.5,"PASS","FAIL")</f>
        <v/>
      </c>
      <c r="O11" s="48">
        <f>IF(ABS(CS!O29-CS!N30)&lt;0.5,"PASS","FAIL")</f>
        <v/>
      </c>
    </row>
    <row r="12">
      <c r="B12" s="7" t="inlineStr">
        <is>
          <t>Cash balance non-negative</t>
        </is>
      </c>
      <c r="C12" s="48">
        <f>IF(BS!C43&gt;=-0.5,"PASS","FAIL")</f>
        <v/>
      </c>
      <c r="D12" s="48">
        <f>IF(BS!D43&gt;=-0.5,"PASS","FAIL")</f>
        <v/>
      </c>
      <c r="E12" s="48">
        <f>IF(BS!E43&gt;=-0.5,"PASS","FAIL")</f>
        <v/>
      </c>
      <c r="F12" s="48">
        <f>IF(BS!F43&gt;=-0.5,"PASS","FAIL")</f>
        <v/>
      </c>
      <c r="G12" s="48">
        <f>IF(BS!G43&gt;=-0.5,"PASS","FAIL")</f>
        <v/>
      </c>
      <c r="H12" s="48">
        <f>IF(BS!H43&gt;=-0.5,"PASS","FAIL")</f>
        <v/>
      </c>
      <c r="I12" s="48">
        <f>IF(BS!I43&gt;=-0.5,"PASS","FAIL")</f>
        <v/>
      </c>
      <c r="J12" s="48">
        <f>IF(BS!J43&gt;=-0.5,"PASS","FAIL")</f>
        <v/>
      </c>
      <c r="K12" s="48">
        <f>IF(BS!K43&gt;=-0.5,"PASS","FAIL")</f>
        <v/>
      </c>
      <c r="L12" s="48">
        <f>IF(BS!L43&gt;=-0.5,"PASS","FAIL")</f>
        <v/>
      </c>
      <c r="M12" s="48">
        <f>IF(BS!M43&gt;=-0.5,"PASS","FAIL")</f>
        <v/>
      </c>
      <c r="N12" s="48">
        <f>IF(BS!N43&gt;=-0.5,"PASS","FAIL")</f>
        <v/>
      </c>
      <c r="O12" s="48">
        <f>IF(BS!O43&gt;=-0.5,"PASS","FAIL")</f>
        <v/>
      </c>
    </row>
    <row r="14">
      <c r="B14" s="19" t="inlineStr">
        <is>
          <t>Roll-forward checks (forecast)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</row>
    <row r="15">
      <c r="B15" s="7" t="inlineStr">
        <is>
          <t>Borrowings roll-forward (close = open + net)</t>
        </is>
      </c>
      <c r="H15" s="48">
        <f>IF(ABS('Working Schedules'!H39-'Working Schedules'!H37-'Working Schedules'!H38)&lt;0.5,"PASS","FAIL")</f>
        <v/>
      </c>
      <c r="I15" s="48">
        <f>IF(ABS('Working Schedules'!I39-'Working Schedules'!I37-'Working Schedules'!I38)&lt;0.5,"PASS","FAIL")</f>
        <v/>
      </c>
      <c r="J15" s="48">
        <f>IF(ABS('Working Schedules'!J39-'Working Schedules'!J37-'Working Schedules'!J38)&lt;0.5,"PASS","FAIL")</f>
        <v/>
      </c>
      <c r="K15" s="48">
        <f>IF(ABS('Working Schedules'!K39-'Working Schedules'!K37-'Working Schedules'!K38)&lt;0.5,"PASS","FAIL")</f>
        <v/>
      </c>
      <c r="L15" s="48">
        <f>IF(ABS('Working Schedules'!L39-'Working Schedules'!L37-'Working Schedules'!L38)&lt;0.5,"PASS","FAIL")</f>
        <v/>
      </c>
      <c r="M15" s="48">
        <f>IF(ABS('Working Schedules'!M39-'Working Schedules'!M37-'Working Schedules'!M38)&lt;0.5,"PASS","FAIL")</f>
        <v/>
      </c>
      <c r="N15" s="48">
        <f>IF(ABS('Working Schedules'!N39-'Working Schedules'!N37-'Working Schedules'!N38)&lt;0.5,"PASS","FAIL")</f>
        <v/>
      </c>
      <c r="O15" s="48">
        <f>IF(ABS('Working Schedules'!O39-'Working Schedules'!O37-'Working Schedules'!O38)&lt;0.5,"PASS","FAIL")</f>
        <v/>
      </c>
    </row>
    <row r="16">
      <c r="B16" s="7" t="inlineStr">
        <is>
          <t>PPE roll-forward (close = open + capex + dep)</t>
        </is>
      </c>
      <c r="H16" s="48">
        <f>IF(ABS('Working Schedules'!H9-'Working Schedules'!H6-'Working Schedules'!H7-'Working Schedules'!H8)&lt;0.5,"PASS","FAIL")</f>
        <v/>
      </c>
      <c r="I16" s="48">
        <f>IF(ABS('Working Schedules'!I9-'Working Schedules'!I6-'Working Schedules'!I7-'Working Schedules'!I8)&lt;0.5,"PASS","FAIL")</f>
        <v/>
      </c>
      <c r="J16" s="48">
        <f>IF(ABS('Working Schedules'!J9-'Working Schedules'!J6-'Working Schedules'!J7-'Working Schedules'!J8)&lt;0.5,"PASS","FAIL")</f>
        <v/>
      </c>
      <c r="K16" s="48">
        <f>IF(ABS('Working Schedules'!K9-'Working Schedules'!K6-'Working Schedules'!K7-'Working Schedules'!K8)&lt;0.5,"PASS","FAIL")</f>
        <v/>
      </c>
      <c r="L16" s="48">
        <f>IF(ABS('Working Schedules'!L9-'Working Schedules'!L6-'Working Schedules'!L7-'Working Schedules'!L8)&lt;0.5,"PASS","FAIL")</f>
        <v/>
      </c>
      <c r="M16" s="48">
        <f>IF(ABS('Working Schedules'!M9-'Working Schedules'!M6-'Working Schedules'!M7-'Working Schedules'!M8)&lt;0.5,"PASS","FAIL")</f>
        <v/>
      </c>
      <c r="N16" s="48">
        <f>IF(ABS('Working Schedules'!N9-'Working Schedules'!N6-'Working Schedules'!N7-'Working Schedules'!N8)&lt;0.5,"PASS","FAIL")</f>
        <v/>
      </c>
      <c r="O16" s="48">
        <f>IF(ABS('Working Schedules'!O9-'Working Schedules'!O6-'Working Schedules'!O7-'Working Schedules'!O8)&lt;0.5,"PASS","FAIL")</f>
        <v/>
      </c>
    </row>
    <row r="17">
      <c r="B17" s="7" t="inlineStr">
        <is>
          <t>Lease roll-forward (close = open + add + repay)</t>
        </is>
      </c>
      <c r="H17" s="48">
        <f>IF(ABS('Working Schedules'!H47-'Working Schedules'!H44-'Working Schedules'!H45-'Working Schedules'!H46)&lt;0.5,"PASS","FAIL")</f>
        <v/>
      </c>
      <c r="I17" s="48">
        <f>IF(ABS('Working Schedules'!I47-'Working Schedules'!I44-'Working Schedules'!I45-'Working Schedules'!I46)&lt;0.5,"PASS","FAIL")</f>
        <v/>
      </c>
      <c r="J17" s="48">
        <f>IF(ABS('Working Schedules'!J47-'Working Schedules'!J44-'Working Schedules'!J45-'Working Schedules'!J46)&lt;0.5,"PASS","FAIL")</f>
        <v/>
      </c>
      <c r="K17" s="48">
        <f>IF(ABS('Working Schedules'!K47-'Working Schedules'!K44-'Working Schedules'!K45-'Working Schedules'!K46)&lt;0.5,"PASS","FAIL")</f>
        <v/>
      </c>
      <c r="L17" s="48">
        <f>IF(ABS('Working Schedules'!L47-'Working Schedules'!L44-'Working Schedules'!L45-'Working Schedules'!L46)&lt;0.5,"PASS","FAIL")</f>
        <v/>
      </c>
      <c r="M17" s="48">
        <f>IF(ABS('Working Schedules'!M47-'Working Schedules'!M44-'Working Schedules'!M45-'Working Schedules'!M46)&lt;0.5,"PASS","FAIL")</f>
        <v/>
      </c>
      <c r="N17" s="48">
        <f>IF(ABS('Working Schedules'!N47-'Working Schedules'!N44-'Working Schedules'!N45-'Working Schedules'!N46)&lt;0.5,"PASS","FAIL")</f>
        <v/>
      </c>
      <c r="O17" s="48">
        <f>IF(ABS('Working Schedules'!O47-'Working Schedules'!O44-'Working Schedules'!O45-'Working Schedules'!O46)&lt;0.5,"PASS","FAIL")</f>
        <v/>
      </c>
    </row>
    <row r="18">
      <c r="B18" s="7" t="inlineStr">
        <is>
          <t>Reserves roll-forward (PAT flows to equity)</t>
        </is>
      </c>
      <c r="H18" s="48">
        <f>IF(ABS(BS!H9-BS!G9-PL!H22-Assumptions!H45+(BS!H8-BS!G8)-(-PL!H9)*Assumptions!H29)&lt;0.5,"PASS","FAIL")</f>
        <v/>
      </c>
      <c r="I18" s="48">
        <f>IF(ABS(BS!I9-BS!H9-PL!I22-Assumptions!I45+(BS!I8-BS!H8)-(-PL!I9)*Assumptions!I29)&lt;0.5,"PASS","FAIL")</f>
        <v/>
      </c>
      <c r="J18" s="48">
        <f>IF(ABS(BS!J9-BS!I9-PL!J22-Assumptions!J45+(BS!J8-BS!I8)-(-PL!J9)*Assumptions!J29)&lt;0.5,"PASS","FAIL")</f>
        <v/>
      </c>
      <c r="K18" s="48">
        <f>IF(ABS(BS!K9-BS!J9-PL!K22-Assumptions!K45+(BS!K8-BS!J8)-(-PL!K9)*Assumptions!K29)&lt;0.5,"PASS","FAIL")</f>
        <v/>
      </c>
      <c r="L18" s="48">
        <f>IF(ABS(BS!L9-BS!K9-PL!L22-Assumptions!L45+(BS!L8-BS!K8)-(-PL!L9)*Assumptions!L29)&lt;0.5,"PASS","FAIL")</f>
        <v/>
      </c>
      <c r="M18" s="48">
        <f>IF(ABS(BS!M9-BS!L9-PL!M22-Assumptions!M45+(BS!M8-BS!L8)-(-PL!M9)*Assumptions!M29)&lt;0.5,"PASS","FAIL")</f>
        <v/>
      </c>
      <c r="N18" s="48">
        <f>IF(ABS(BS!N9-BS!M9-PL!N22-Assumptions!N45+(BS!N8-BS!M8)-(-PL!N9)*Assumptions!N29)&lt;0.5,"PASS","FAIL")</f>
        <v/>
      </c>
      <c r="O18" s="48">
        <f>IF(ABS(BS!O9-BS!N9-PL!O22-Assumptions!O45+(BS!O8-BS!N8)-(-PL!O9)*Assumptions!O29)&lt;0.5,"PASS","FAIL")</f>
        <v/>
      </c>
    </row>
    <row r="19">
      <c r="B19" s="7" t="inlineStr">
        <is>
          <t>Gross profit = Revenue + COGS</t>
        </is>
      </c>
      <c r="C19" s="48">
        <f>IF(ABS(PL!C7-PL!C5-PL!C6)&lt;0.5,"PASS","FAIL")</f>
        <v/>
      </c>
      <c r="D19" s="48">
        <f>IF(ABS(PL!D7-PL!D5-PL!D6)&lt;0.5,"PASS","FAIL")</f>
        <v/>
      </c>
      <c r="E19" s="48">
        <f>IF(ABS(PL!E7-PL!E5-PL!E6)&lt;0.5,"PASS","FAIL")</f>
        <v/>
      </c>
      <c r="F19" s="48">
        <f>IF(ABS(PL!F7-PL!F5-PL!F6)&lt;0.5,"PASS","FAIL")</f>
        <v/>
      </c>
      <c r="G19" s="48">
        <f>IF(ABS(PL!G7-PL!G5-PL!G6)&lt;0.5,"PASS","FAIL")</f>
        <v/>
      </c>
      <c r="H19" s="48">
        <f>IF(ABS(PL!H7-PL!H5-PL!H6)&lt;0.5,"PASS","FAIL")</f>
        <v/>
      </c>
      <c r="I19" s="48">
        <f>IF(ABS(PL!I7-PL!I5-PL!I6)&lt;0.5,"PASS","FAIL")</f>
        <v/>
      </c>
      <c r="J19" s="48">
        <f>IF(ABS(PL!J7-PL!J5-PL!J6)&lt;0.5,"PASS","FAIL")</f>
        <v/>
      </c>
      <c r="K19" s="48">
        <f>IF(ABS(PL!K7-PL!K5-PL!K6)&lt;0.5,"PASS","FAIL")</f>
        <v/>
      </c>
      <c r="L19" s="48">
        <f>IF(ABS(PL!L7-PL!L5-PL!L6)&lt;0.5,"PASS","FAIL")</f>
        <v/>
      </c>
      <c r="M19" s="48">
        <f>IF(ABS(PL!M7-PL!M5-PL!M6)&lt;0.5,"PASS","FAIL")</f>
        <v/>
      </c>
      <c r="N19" s="48">
        <f>IF(ABS(PL!N7-PL!N5-PL!N6)&lt;0.5,"PASS","FAIL")</f>
        <v/>
      </c>
      <c r="O19" s="48">
        <f>IF(ABS(PL!O7-PL!O5-PL!O6)&lt;0.5,"PASS","FAIL")</f>
        <v/>
      </c>
    </row>
    <row r="21">
      <c r="B21" s="19" t="inlineStr">
        <is>
          <t>Overall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</row>
    <row r="22">
      <c r="B22" s="12" t="inlineStr">
        <is>
          <t>ALL CHECKS PASS?</t>
        </is>
      </c>
      <c r="C22" s="5">
        <f>IF(SUM(COUNTIF(C6:O6,"FAIL"),COUNTIF(C7:O7,"FAIL"),COUNTIF(C10:O10,"FAIL"),COUNTIF(D11:O11,"FAIL"),COUNTIF(C12:O12,"FAIL"),COUNTIF(D15:O15,"FAIL"),COUNTIF(D16:O16,"FAIL"),COUNTIF(D17:O17,"FAIL"),COUNTIF(D18:O18,"FAIL"),COUNTIF(C19:O19,"FAIL"))=0,"ALL CHECKS PASS","REVIEW REQUIRED")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B2:N29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" customWidth="1" min="11" max="11"/>
    <col width="26" customWidth="1" min="12" max="12"/>
    <col width="11" customWidth="1" min="13" max="13"/>
    <col width="18" customWidth="1" min="14" max="14"/>
  </cols>
  <sheetData>
    <row r="2">
      <c r="B2" s="15" t="inlineStr">
        <is>
          <t>Ather Energy Ltd — DCF Valuation (FCFF)</t>
        </is>
      </c>
      <c r="L2" s="49" t="inlineStr">
        <is>
          <t>WACC (CAPM)</t>
        </is>
      </c>
    </row>
    <row r="4">
      <c r="B4" s="21" t="inlineStr">
        <is>
          <t>Particulars</t>
        </is>
      </c>
      <c r="C4" s="23" t="n">
        <v>2026</v>
      </c>
      <c r="D4" s="23">
        <f>C4+1</f>
        <v/>
      </c>
      <c r="E4" s="23">
        <f>D4+1</f>
        <v/>
      </c>
      <c r="F4" s="23">
        <f>E4+1</f>
        <v/>
      </c>
      <c r="G4" s="23">
        <f>F4+1</f>
        <v/>
      </c>
      <c r="H4" s="23">
        <f>G4+1</f>
        <v/>
      </c>
      <c r="I4" s="23">
        <f>H4+1</f>
        <v/>
      </c>
      <c r="J4" s="23">
        <f>I4+1</f>
        <v/>
      </c>
      <c r="L4" s="7" t="inlineStr">
        <is>
          <t>Risk-free rate (Rf)</t>
        </is>
      </c>
      <c r="M4" s="50" t="n">
        <v>0.068</v>
      </c>
      <c r="N4" s="51" t="inlineStr">
        <is>
          <t>10-yr G-Sec</t>
        </is>
      </c>
    </row>
    <row r="5">
      <c r="L5" s="7" t="inlineStr">
        <is>
          <t>Equity market return (Rm)</t>
        </is>
      </c>
      <c r="M5" s="50" t="n">
        <v>0.12</v>
      </c>
      <c r="N5" s="51" t="inlineStr">
        <is>
          <t>Nifty long-run</t>
        </is>
      </c>
    </row>
    <row r="6">
      <c r="B6" s="7" t="inlineStr">
        <is>
          <t>EBIT</t>
        </is>
      </c>
      <c r="C6" s="34">
        <f>PL!H14</f>
        <v/>
      </c>
      <c r="D6" s="34">
        <f>PL!I14</f>
        <v/>
      </c>
      <c r="E6" s="34">
        <f>PL!J14</f>
        <v/>
      </c>
      <c r="F6" s="34">
        <f>PL!K14</f>
        <v/>
      </c>
      <c r="G6" s="34">
        <f>PL!L14</f>
        <v/>
      </c>
      <c r="H6" s="34">
        <f>PL!M14</f>
        <v/>
      </c>
      <c r="I6" s="34">
        <f>PL!N14</f>
        <v/>
      </c>
      <c r="J6" s="34">
        <f>PL!O14</f>
        <v/>
      </c>
      <c r="L6" s="7" t="inlineStr">
        <is>
          <t>Equity risk premium</t>
        </is>
      </c>
      <c r="M6" s="52">
        <f>M5-M4</f>
        <v/>
      </c>
      <c r="N6" s="51" t="inlineStr">
        <is>
          <t>Rm - Rf</t>
        </is>
      </c>
    </row>
    <row r="7">
      <c r="B7" s="7" t="inlineStr">
        <is>
          <t>Less: tax on EBIT</t>
        </is>
      </c>
      <c r="C7" s="39">
        <f>-C6*Assumptions!H47</f>
        <v/>
      </c>
      <c r="D7" s="39">
        <f>-D6*Assumptions!I47</f>
        <v/>
      </c>
      <c r="E7" s="39">
        <f>-E6*Assumptions!J47</f>
        <v/>
      </c>
      <c r="F7" s="39">
        <f>-F6*Assumptions!K47</f>
        <v/>
      </c>
      <c r="G7" s="39">
        <f>-G6*Assumptions!L47</f>
        <v/>
      </c>
      <c r="H7" s="39">
        <f>-H6*Assumptions!M47</f>
        <v/>
      </c>
      <c r="I7" s="39">
        <f>-I6*Assumptions!N47</f>
        <v/>
      </c>
      <c r="J7" s="39">
        <f>-J6*Assumptions!O47</f>
        <v/>
      </c>
      <c r="L7" s="7" t="inlineStr">
        <is>
          <t>Beta (levered)</t>
        </is>
      </c>
      <c r="M7" s="27" t="n">
        <v>1.15</v>
      </c>
      <c r="N7" s="51" t="inlineStr">
        <is>
          <t>High-growth EV peer</t>
        </is>
      </c>
    </row>
    <row r="8">
      <c r="B8" s="12" t="inlineStr">
        <is>
          <t>NOPAT</t>
        </is>
      </c>
      <c r="C8" s="33">
        <f>C6+C7</f>
        <v/>
      </c>
      <c r="D8" s="33">
        <f>D6+D7</f>
        <v/>
      </c>
      <c r="E8" s="33">
        <f>E6+E7</f>
        <v/>
      </c>
      <c r="F8" s="33">
        <f>F6+F7</f>
        <v/>
      </c>
      <c r="G8" s="33">
        <f>G6+G7</f>
        <v/>
      </c>
      <c r="H8" s="33">
        <f>H6+H7</f>
        <v/>
      </c>
      <c r="I8" s="33">
        <f>I6+I7</f>
        <v/>
      </c>
      <c r="J8" s="33">
        <f>J6+J7</f>
        <v/>
      </c>
      <c r="L8" s="7" t="inlineStr">
        <is>
          <t>Cost of equity (Ke)</t>
        </is>
      </c>
      <c r="M8" s="52">
        <f>M4+M7*M6</f>
        <v/>
      </c>
      <c r="N8" s="51" t="inlineStr">
        <is>
          <t>CAPM</t>
        </is>
      </c>
    </row>
    <row r="9">
      <c r="B9" s="7" t="inlineStr">
        <is>
          <t>Add: Depreciation &amp; amortisation</t>
        </is>
      </c>
      <c r="C9" s="34">
        <f>-PL!H13</f>
        <v/>
      </c>
      <c r="D9" s="34">
        <f>-PL!I13</f>
        <v/>
      </c>
      <c r="E9" s="34">
        <f>-PL!J13</f>
        <v/>
      </c>
      <c r="F9" s="34">
        <f>-PL!K13</f>
        <v/>
      </c>
      <c r="G9" s="34">
        <f>-PL!L13</f>
        <v/>
      </c>
      <c r="H9" s="34">
        <f>-PL!M13</f>
        <v/>
      </c>
      <c r="I9" s="34">
        <f>-PL!N13</f>
        <v/>
      </c>
      <c r="J9" s="34">
        <f>-PL!O13</f>
        <v/>
      </c>
      <c r="L9" s="12" t="inlineStr">
        <is>
          <t>WACC</t>
        </is>
      </c>
      <c r="M9" s="52">
        <f>M8</f>
        <v/>
      </c>
      <c r="N9" s="51" t="inlineStr">
        <is>
          <t>Debt small -&gt; ~Ke</t>
        </is>
      </c>
    </row>
    <row r="10">
      <c r="B10" s="7" t="inlineStr">
        <is>
          <t>Less: Capex (PPE + intangibles)</t>
        </is>
      </c>
      <c r="C10" s="34">
        <f>-('Working Schedules'!H7+'Working Schedules'!H21)</f>
        <v/>
      </c>
      <c r="D10" s="34">
        <f>-('Working Schedules'!I7+'Working Schedules'!I21)</f>
        <v/>
      </c>
      <c r="E10" s="34">
        <f>-('Working Schedules'!J7+'Working Schedules'!J21)</f>
        <v/>
      </c>
      <c r="F10" s="34">
        <f>-('Working Schedules'!K7+'Working Schedules'!K21)</f>
        <v/>
      </c>
      <c r="G10" s="34">
        <f>-('Working Schedules'!L7+'Working Schedules'!L21)</f>
        <v/>
      </c>
      <c r="H10" s="34">
        <f>-('Working Schedules'!M7+'Working Schedules'!M21)</f>
        <v/>
      </c>
      <c r="I10" s="34">
        <f>-('Working Schedules'!N7+'Working Schedules'!N21)</f>
        <v/>
      </c>
      <c r="J10" s="34">
        <f>-('Working Schedules'!O7+'Working Schedules'!O21)</f>
        <v/>
      </c>
    </row>
    <row r="11">
      <c r="B11" s="7" t="inlineStr">
        <is>
          <t>Less: Increase in net working capital</t>
        </is>
      </c>
      <c r="C11" s="34">
        <f>-'Working Capital Schedule'!H21</f>
        <v/>
      </c>
      <c r="D11" s="34">
        <f>-'Working Capital Schedule'!I21</f>
        <v/>
      </c>
      <c r="E11" s="34">
        <f>-'Working Capital Schedule'!J21</f>
        <v/>
      </c>
      <c r="F11" s="34">
        <f>-'Working Capital Schedule'!K21</f>
        <v/>
      </c>
      <c r="G11" s="34">
        <f>-'Working Capital Schedule'!L21</f>
        <v/>
      </c>
      <c r="H11" s="34">
        <f>-'Working Capital Schedule'!M21</f>
        <v/>
      </c>
      <c r="I11" s="34">
        <f>-'Working Capital Schedule'!N21</f>
        <v/>
      </c>
      <c r="J11" s="34">
        <f>-'Working Capital Schedule'!O21</f>
        <v/>
      </c>
    </row>
    <row r="12">
      <c r="B12" s="35" t="inlineStr">
        <is>
          <t>Free cash flow to firm (FCFF)</t>
        </is>
      </c>
      <c r="C12" s="36">
        <f>SUM(C8:C11)</f>
        <v/>
      </c>
      <c r="D12" s="36">
        <f>SUM(D8:D11)</f>
        <v/>
      </c>
      <c r="E12" s="36">
        <f>SUM(E8:E11)</f>
        <v/>
      </c>
      <c r="F12" s="36">
        <f>SUM(F8:F11)</f>
        <v/>
      </c>
      <c r="G12" s="36">
        <f>SUM(G8:G11)</f>
        <v/>
      </c>
      <c r="H12" s="36">
        <f>SUM(H8:H11)</f>
        <v/>
      </c>
      <c r="I12" s="36">
        <f>SUM(I8:I11)</f>
        <v/>
      </c>
      <c r="J12" s="36">
        <f>SUM(J8:J11)</f>
        <v/>
      </c>
    </row>
    <row r="13">
      <c r="B13" s="7" t="inlineStr">
        <is>
          <t>Discount period</t>
        </is>
      </c>
      <c r="C13" s="27" t="n">
        <v>1</v>
      </c>
      <c r="D13" s="47">
        <f>C13+1</f>
        <v/>
      </c>
      <c r="E13" s="47">
        <f>D13+1</f>
        <v/>
      </c>
      <c r="F13" s="47">
        <f>E13+1</f>
        <v/>
      </c>
      <c r="G13" s="47">
        <f>F13+1</f>
        <v/>
      </c>
      <c r="H13" s="47">
        <f>G13+1</f>
        <v/>
      </c>
      <c r="I13" s="47">
        <f>H13+1</f>
        <v/>
      </c>
      <c r="J13" s="47">
        <f>I13+1</f>
        <v/>
      </c>
    </row>
    <row r="14">
      <c r="B14" s="12" t="inlineStr">
        <is>
          <t>PV of FCFF</t>
        </is>
      </c>
      <c r="C14" s="33">
        <f>C12/(1+$M$9)^C13</f>
        <v/>
      </c>
      <c r="D14" s="33">
        <f>D12/(1+$M$9)^D13</f>
        <v/>
      </c>
      <c r="E14" s="33">
        <f>E12/(1+$M$9)^E13</f>
        <v/>
      </c>
      <c r="F14" s="33">
        <f>F12/(1+$M$9)^F13</f>
        <v/>
      </c>
      <c r="G14" s="33">
        <f>G12/(1+$M$9)^G13</f>
        <v/>
      </c>
      <c r="H14" s="33">
        <f>H12/(1+$M$9)^H13</f>
        <v/>
      </c>
      <c r="I14" s="33">
        <f>I12/(1+$M$9)^I13</f>
        <v/>
      </c>
      <c r="J14" s="33">
        <f>J12/(1+$M$9)^J13</f>
        <v/>
      </c>
    </row>
    <row r="16">
      <c r="B16" s="4" t="inlineStr">
        <is>
          <t>Valuation summary</t>
        </is>
      </c>
    </row>
    <row r="17">
      <c r="B17" s="7" t="inlineStr">
        <is>
          <t>Terminal growth rate (g)</t>
        </is>
      </c>
      <c r="C17" s="50" t="n">
        <v>0.05</v>
      </c>
    </row>
    <row r="18">
      <c r="B18" s="7" t="inlineStr">
        <is>
          <t>Terminal (steady-state) EBIT margin</t>
        </is>
      </c>
      <c r="C18" s="50" t="n">
        <v>0.1</v>
      </c>
    </row>
    <row r="19">
      <c r="B19" s="7" t="inlineStr">
        <is>
          <t>Normalised terminal NOPAT</t>
        </is>
      </c>
      <c r="C19" s="39">
        <f>PL!O5*C18*(1-Assumptions!O47)</f>
        <v/>
      </c>
    </row>
    <row r="20">
      <c r="B20" s="7" t="inlineStr">
        <is>
          <t>Terminal value (end FY2033)</t>
        </is>
      </c>
      <c r="C20" s="39">
        <f>C19*(1+C17)/($M$9-C17)</f>
        <v/>
      </c>
    </row>
    <row r="21">
      <c r="B21" s="7" t="inlineStr">
        <is>
          <t>PV of terminal value</t>
        </is>
      </c>
      <c r="C21" s="39">
        <f>C20/(1+$M$9)^J13</f>
        <v/>
      </c>
    </row>
    <row r="22">
      <c r="B22" s="7" t="inlineStr">
        <is>
          <t>Sum of PV of explicit FCFF</t>
        </is>
      </c>
      <c r="C22" s="39">
        <f>SUM(C14:J14)</f>
        <v/>
      </c>
    </row>
    <row r="23">
      <c r="B23" s="12" t="inlineStr">
        <is>
          <t>Enterprise value (EV)</t>
        </is>
      </c>
      <c r="C23" s="33">
        <f>C21+C22</f>
        <v/>
      </c>
    </row>
    <row r="24">
      <c r="B24" s="7" t="inlineStr">
        <is>
          <t>Less: net debt (FY2025)</t>
        </is>
      </c>
      <c r="C24" s="34">
        <f>-(BS!G13+BS!G21+BS!G14+BS!G22-BS!G43)</f>
        <v/>
      </c>
    </row>
    <row r="25">
      <c r="B25" s="12" t="inlineStr">
        <is>
          <t>Equity value</t>
        </is>
      </c>
      <c r="C25" s="33">
        <f>C23+C24</f>
        <v/>
      </c>
    </row>
    <row r="26">
      <c r="B26" s="7" t="inlineStr">
        <is>
          <t>Shares outstanding (m)</t>
        </is>
      </c>
      <c r="C26" s="27" t="n">
        <v>372</v>
      </c>
    </row>
    <row r="27">
      <c r="B27" s="35" t="inlineStr">
        <is>
          <t>Value per share (INR)</t>
        </is>
      </c>
      <c r="C27" s="53">
        <f>C25/C26</f>
        <v/>
      </c>
    </row>
    <row r="29">
      <c r="B29" s="3" t="inlineStr">
        <is>
          <t>Note: Ather is in an investment / pre-profit phase, so explicit-period FCFF is negative and value is dominated by the terminal value, which is built on a normalised steady-state EBIT margin (input) rather than the still-maturing FY2033 margin. The DCF is highly sensitive to WACC, terminal growth and terminal margin and should be read alongside relative valuation (EV/Sales) and the Base/Bull/Bear scenarios.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B2:O33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0" customWidth="1" min="11" max="11"/>
    <col width="11" customWidth="1" min="12" max="12"/>
  </cols>
  <sheetData>
    <row r="2">
      <c r="B2" s="15" t="inlineStr">
        <is>
          <t>Ather Energy Ltd — Relative Valuation (Comparable Companies)</t>
        </is>
      </c>
    </row>
    <row r="3" ht="28" customHeight="1">
      <c r="B3" s="54" t="inlineStr">
        <is>
          <t>Peer market data indicative, as of ~Jun-2026 (public sources: NSE/BSE, stockanalysis, dhan, companies-marketcap). Figures in INR crore unless stated. 1 cr = 10 INR m.</t>
        </is>
      </c>
    </row>
    <row r="5" ht="28" customHeight="1">
      <c r="B5" s="55" t="inlineStr">
        <is>
          <t>Company</t>
        </is>
      </c>
      <c r="C5" s="55" t="inlineStr">
        <is>
          <t>Mkt cap (cr)</t>
        </is>
      </c>
      <c r="D5" s="55" t="inlineStr">
        <is>
          <t>Net debt (cr)</t>
        </is>
      </c>
      <c r="E5" s="55" t="inlineStr">
        <is>
          <t>EV (cr)</t>
        </is>
      </c>
      <c r="F5" s="55" t="inlineStr">
        <is>
          <t>Revenue (cr)</t>
        </is>
      </c>
      <c r="G5" s="55" t="inlineStr">
        <is>
          <t>EBITDA (cr)</t>
        </is>
      </c>
      <c r="H5" s="55" t="inlineStr">
        <is>
          <t>PAT (cr)</t>
        </is>
      </c>
      <c r="I5" s="55" t="inlineStr">
        <is>
          <t>EV/Sales</t>
        </is>
      </c>
      <c r="J5" s="55" t="inlineStr">
        <is>
          <t>EV/EBITDA</t>
        </is>
      </c>
      <c r="K5" s="55" t="inlineStr">
        <is>
          <t>P/E</t>
        </is>
      </c>
      <c r="L5" s="55" t="inlineStr">
        <is>
          <t>EBITDA %</t>
        </is>
      </c>
    </row>
    <row r="6">
      <c r="B6" s="7" t="inlineStr">
        <is>
          <t>TVS Motor</t>
        </is>
      </c>
      <c r="C6" s="28" t="n">
        <v>169592</v>
      </c>
      <c r="D6" s="28" t="n">
        <v>2000</v>
      </c>
      <c r="E6" s="56">
        <f>C6+D6</f>
        <v/>
      </c>
      <c r="F6" s="28" t="n">
        <v>36000</v>
      </c>
      <c r="G6" s="28" t="n">
        <v>4320</v>
      </c>
      <c r="H6" s="28" t="n">
        <v>2200</v>
      </c>
      <c r="I6" s="44">
        <f>E6/F6</f>
        <v/>
      </c>
      <c r="J6" s="44">
        <f>IF(G6&gt;0,E6/G6,"NM")</f>
        <v/>
      </c>
      <c r="K6" s="44">
        <f>IF(H6&gt;0,C6/H6,"NM")</f>
        <v/>
      </c>
      <c r="L6" s="37">
        <f>G6/F6</f>
        <v/>
      </c>
    </row>
    <row r="7">
      <c r="B7" s="7" t="inlineStr">
        <is>
          <t>Bajaj Auto</t>
        </is>
      </c>
      <c r="C7" s="28" t="n">
        <v>265000</v>
      </c>
      <c r="D7" s="28" t="n">
        <v>-15000</v>
      </c>
      <c r="E7" s="56">
        <f>C7+D7</f>
        <v/>
      </c>
      <c r="F7" s="28" t="n">
        <v>49000</v>
      </c>
      <c r="G7" s="28" t="n">
        <v>9800</v>
      </c>
      <c r="H7" s="28" t="n">
        <v>7300</v>
      </c>
      <c r="I7" s="44">
        <f>E7/F7</f>
        <v/>
      </c>
      <c r="J7" s="44">
        <f>IF(G7&gt;0,E7/G7,"NM")</f>
        <v/>
      </c>
      <c r="K7" s="44">
        <f>IF(H7&gt;0,C7/H7,"NM")</f>
        <v/>
      </c>
      <c r="L7" s="37">
        <f>G7/F7</f>
        <v/>
      </c>
    </row>
    <row r="8">
      <c r="B8" s="7" t="inlineStr">
        <is>
          <t>Hero MotoCorp</t>
        </is>
      </c>
      <c r="C8" s="28" t="n">
        <v>90000</v>
      </c>
      <c r="D8" s="28" t="n">
        <v>-8000</v>
      </c>
      <c r="E8" s="56">
        <f>C8+D8</f>
        <v/>
      </c>
      <c r="F8" s="28" t="n">
        <v>40000</v>
      </c>
      <c r="G8" s="28" t="n">
        <v>5600</v>
      </c>
      <c r="H8" s="28" t="n">
        <v>4500</v>
      </c>
      <c r="I8" s="44">
        <f>E8/F8</f>
        <v/>
      </c>
      <c r="J8" s="44">
        <f>IF(G8&gt;0,E8/G8,"NM")</f>
        <v/>
      </c>
      <c r="K8" s="44">
        <f>IF(H8&gt;0,C8/H8,"NM")</f>
        <v/>
      </c>
      <c r="L8" s="37">
        <f>G8/F8</f>
        <v/>
      </c>
    </row>
    <row r="9">
      <c r="B9" s="7" t="inlineStr">
        <is>
          <t>Eicher Motors</t>
        </is>
      </c>
      <c r="C9" s="28" t="n">
        <v>208424</v>
      </c>
      <c r="D9" s="28" t="n">
        <v>-16000</v>
      </c>
      <c r="E9" s="56">
        <f>C9+D9</f>
        <v/>
      </c>
      <c r="F9" s="28" t="n">
        <v>18000</v>
      </c>
      <c r="G9" s="28" t="n">
        <v>4500</v>
      </c>
      <c r="H9" s="28" t="n">
        <v>4700</v>
      </c>
      <c r="I9" s="44">
        <f>E9/F9</f>
        <v/>
      </c>
      <c r="J9" s="44">
        <f>IF(G9&gt;0,E9/G9,"NM")</f>
        <v/>
      </c>
      <c r="K9" s="44">
        <f>IF(H9&gt;0,C9/H9,"NM")</f>
        <v/>
      </c>
      <c r="L9" s="37">
        <f>G9/F9</f>
        <v/>
      </c>
    </row>
    <row r="10">
      <c r="B10" s="7" t="inlineStr">
        <is>
          <t>Ola Electric</t>
        </is>
      </c>
      <c r="C10" s="28" t="n">
        <v>19000</v>
      </c>
      <c r="D10" s="28" t="n">
        <v>-2000</v>
      </c>
      <c r="E10" s="56">
        <f>C10+D10</f>
        <v/>
      </c>
      <c r="F10" s="28" t="n">
        <v>4514</v>
      </c>
      <c r="G10" s="28" t="n">
        <v>-1500</v>
      </c>
      <c r="H10" s="28" t="n">
        <v>-2000</v>
      </c>
      <c r="I10" s="44">
        <f>E10/F10</f>
        <v/>
      </c>
      <c r="J10" s="44">
        <f>IF(G10&gt;0,E10/G10,"NM")</f>
        <v/>
      </c>
      <c r="K10" s="44">
        <f>IF(H10&gt;0,C10/H10,"NM")</f>
        <v/>
      </c>
      <c r="L10" s="37">
        <f>G10/F10</f>
        <v/>
      </c>
    </row>
    <row r="11">
      <c r="B11" s="12" t="inlineStr">
        <is>
          <t>Ather Energy (mkt)</t>
        </is>
      </c>
      <c r="C11" s="28" t="n">
        <v>37920</v>
      </c>
      <c r="D11" s="28" t="n">
        <v>150</v>
      </c>
      <c r="E11" s="56">
        <f>C11+D11</f>
        <v/>
      </c>
      <c r="F11" s="28" t="n">
        <v>2255</v>
      </c>
      <c r="G11" s="28" t="n">
        <v>-581</v>
      </c>
      <c r="H11" s="28" t="n">
        <v>-812</v>
      </c>
      <c r="I11" s="44">
        <f>E11/F11</f>
        <v/>
      </c>
      <c r="J11" s="44">
        <f>IF(G11&gt;0,E11/G11,"NM")</f>
        <v/>
      </c>
      <c r="K11" s="44">
        <f>IF(H11&gt;0,C11/H11,"NM")</f>
        <v/>
      </c>
      <c r="L11" s="37">
        <f>G11/F11</f>
        <v/>
      </c>
    </row>
    <row r="13">
      <c r="B13" s="12" t="inlineStr">
        <is>
          <t>Legacy 2W OEM median (TVS/Bajaj/Hero/Eicher)</t>
        </is>
      </c>
      <c r="I13" s="57">
        <f>MEDIAN(I6:I9)</f>
        <v/>
      </c>
      <c r="J13" s="57">
        <f>MEDIAN(J6:J9)</f>
        <v/>
      </c>
      <c r="K13" s="57">
        <f>MEDIAN(K6:K9)</f>
        <v/>
      </c>
    </row>
    <row r="14">
      <c r="B14" s="12" t="inlineStr">
        <is>
          <t>EV pure-play reference (Ola Electric)</t>
        </is>
      </c>
      <c r="I14" s="57">
        <f>I10</f>
        <v/>
      </c>
    </row>
    <row r="16">
      <c r="B16" s="19" t="inlineStr">
        <is>
          <t>Implied valuation of Ather Energy (EV/Sales — primary, as company is pre-profit)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</row>
    <row r="17">
      <c r="B17" s="7" t="inlineStr">
        <is>
          <t>Ather FY2027E revenue (INR cr)</t>
        </is>
      </c>
      <c r="C17" s="32">
        <f>PL!I5/10</f>
        <v/>
      </c>
    </row>
    <row r="18">
      <c r="B18" s="7" t="inlineStr">
        <is>
          <t>Ather net debt — FY2025 (INR cr)</t>
        </is>
      </c>
      <c r="C18" s="32">
        <f>(BS!G13+BS!G21+BS!G14+BS!G22-BS!G43)/10</f>
        <v/>
      </c>
    </row>
    <row r="19">
      <c r="B19" s="7" t="inlineStr">
        <is>
          <t>Shares outstanding (m)</t>
        </is>
      </c>
      <c r="C19" s="28" t="n">
        <v>383</v>
      </c>
    </row>
    <row r="21">
      <c r="B21" s="21" t="inlineStr">
        <is>
          <t>Scenario</t>
        </is>
      </c>
      <c r="C21" s="58" t="inlineStr">
        <is>
          <t>EV/Sales (x)</t>
        </is>
      </c>
      <c r="D21" s="58" t="inlineStr">
        <is>
          <t>Implied EV (cr)</t>
        </is>
      </c>
      <c r="E21" s="58" t="inlineStr">
        <is>
          <t>Implied equity (cr)</t>
        </is>
      </c>
      <c r="F21" s="58" t="inlineStr">
        <is>
          <t>Implied price (INR)</t>
        </is>
      </c>
    </row>
    <row r="22">
      <c r="B22" s="7" t="inlineStr">
        <is>
          <t>Conservative (3.0x)</t>
        </is>
      </c>
      <c r="C22" s="59" t="n">
        <v>3</v>
      </c>
      <c r="D22" s="56">
        <f>C22*$C$17</f>
        <v/>
      </c>
      <c r="E22" s="56">
        <f>D22-$C$18</f>
        <v/>
      </c>
      <c r="F22" s="60">
        <f>E22*10/$C$19</f>
        <v/>
      </c>
    </row>
    <row r="23">
      <c r="B23" s="7" t="inlineStr">
        <is>
          <t>Base (4.5x)</t>
        </is>
      </c>
      <c r="C23" s="59" t="n">
        <v>4.5</v>
      </c>
      <c r="D23" s="56">
        <f>C23*$C$17</f>
        <v/>
      </c>
      <c r="E23" s="56">
        <f>D23-$C$18</f>
        <v/>
      </c>
      <c r="F23" s="60">
        <f>E23*10/$C$19</f>
        <v/>
      </c>
    </row>
    <row r="24">
      <c r="B24" s="7" t="inlineStr">
        <is>
          <t>Bull (6.0x)</t>
        </is>
      </c>
      <c r="C24" s="59" t="n">
        <v>6</v>
      </c>
      <c r="D24" s="56">
        <f>C24*$C$17</f>
        <v/>
      </c>
      <c r="E24" s="56">
        <f>D24-$C$18</f>
        <v/>
      </c>
      <c r="F24" s="60">
        <f>E24*10/$C$19</f>
        <v/>
      </c>
    </row>
    <row r="27">
      <c r="B27" s="19" t="inlineStr">
        <is>
          <t>Valuation summary (football field)</t>
        </is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</row>
    <row r="28">
      <c r="B28" s="7" t="inlineStr">
        <is>
          <t>DCF — Base case (INR/share)</t>
        </is>
      </c>
      <c r="C28" s="61">
        <f>DCF!C27</f>
        <v/>
      </c>
    </row>
    <row r="29">
      <c r="B29" s="7" t="inlineStr">
        <is>
          <t>Relative — conservative to bull (INR/share)</t>
        </is>
      </c>
      <c r="C29" s="60">
        <f>F22</f>
        <v/>
      </c>
      <c r="D29" s="7">
        <f>"to "&amp;TEXT(F24,"#,##0")</f>
        <v/>
      </c>
    </row>
    <row r="30">
      <c r="B30" s="7" t="inlineStr">
        <is>
          <t>Current market price (INR/share)</t>
        </is>
      </c>
      <c r="C30" s="62" t="n">
        <v>990</v>
      </c>
    </row>
    <row r="31">
      <c r="B31" s="7" t="inlineStr">
        <is>
          <t>Implied market EV/Sales on FY25 revenue (x)</t>
        </is>
      </c>
      <c r="C31" s="63">
        <f>I11</f>
        <v/>
      </c>
    </row>
    <row r="33" ht="58" customHeight="1">
      <c r="B33" s="54" t="inlineStr">
        <is>
          <t>Read-through: Ather trades at a steep premium to legacy 2W OEMs and to Ola Electric on EV/Sales, so the market is already pricing in strong volume growth and a sharp margin ramp. On a conservative DCF and on peer-based EV/Sales, the stock screens expensive unless one underwrites the bull-case volumes and terminal margins. Use this alongside the DCF and the Scenarios switch. Indicative, not investment advice.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8080"/>
    <outlinePr summaryBelow="1" summaryRight="1"/>
    <pageSetUpPr/>
  </sheetPr>
  <dimension ref="B2:B19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120" customWidth="1" min="2" max="2"/>
  </cols>
  <sheetData>
    <row r="2">
      <c r="B2" s="15" t="inlineStr">
        <is>
          <t>Ather Energy Ltd — Company &amp; Market Insights</t>
        </is>
      </c>
    </row>
    <row r="4" ht="15" customHeight="1">
      <c r="B4" s="64" t="inlineStr">
        <is>
          <t>Company snapshot</t>
        </is>
      </c>
    </row>
    <row r="5" ht="60" customHeight="1">
      <c r="B5" s="65" t="inlineStr">
        <is>
          <t>Ather Energy Ltd (Bengaluru; incorporated 2013) designs and manufactures premium smart electric scooters (450 series, Rizta) and runs the AtherStack software and Ather Grid charging ecosystem. It listed on NSE/BSE in May 2025. Ather prepares STANDALONE financial statements only — it has no subsidiaries, so no consolidated statements exist; standalone is therefore the consolidated-equivalent used here.</t>
        </is>
      </c>
    </row>
    <row r="6" ht="15" customHeight="1">
      <c r="B6" s="64" t="inlineStr">
        <is>
          <t>Operating performance</t>
        </is>
      </c>
    </row>
    <row r="7" ht="60" customHeight="1">
      <c r="B7" s="65" t="inlineStr">
        <is>
          <t>Revenue grew from INR 798m (FY21) to INR 22,550m (FY25); FY25 revenue +29% YoY. The company remains loss-making (FY25 PAT INR -8,123m) but gross margin inflected sharply to ~16.8% in FY25 (from ~7% FY24) on scale, the Rizta launch and falling battery costs. Vehicle sales are ~88% of revenue; software, accessories, charging and service make up the balance and are higher-margin, recurring streams.</t>
        </is>
      </c>
    </row>
    <row r="8" ht="15" customHeight="1">
      <c r="B8" s="64" t="inlineStr">
        <is>
          <t>Volumes, ASP &amp; market share</t>
        </is>
      </c>
    </row>
    <row r="9" ht="60" customHeight="1">
      <c r="B9" s="65" t="inlineStr">
        <is>
          <t>FY25 deliveries ~1.65 lakh units; revenue per vehicle ~INR 1.28 lakh (down from ~1.43 lakh FY24 and ~1.56 lakh FY23 as the cheaper Rizta lifted mix). Ather's E2W market share rose from ~13-14% (FY25) to ~18.7% by Mar-2026; retail network expanded from 351 outlets (Mar-25) toward ~700 (FY26). Source: Vahan / ETAuto / Autocar India / Storyboard18.</t>
        </is>
      </c>
    </row>
    <row r="10" ht="15" customHeight="1">
      <c r="B10" s="64" t="inlineStr">
        <is>
          <t>Industry &amp; demand drivers</t>
        </is>
      </c>
    </row>
    <row r="11" ht="60" customHeight="1">
      <c r="B11" s="65" t="inlineStr">
        <is>
          <t>India electric two-wheeler volumes (~1.1-1.2m in FY25) are forecast to grow ~26-28% CAGR to 2034 (IMARC/Renub/TechSci). E2W penetration of the ~19m-unit 2W market is ~6-7% today and is projected at ~30% by 2030 (Kearney) and up to ~40% by FY31 in Ather's optimistic case. PM E-DRIVE (successor to FAME-II), 5% GST on EVs, state EV policies and PLI for cell manufacturing support demand and localisation.</t>
        </is>
      </c>
    </row>
    <row r="12" ht="15" customHeight="1">
      <c r="B12" s="64" t="inlineStr">
        <is>
          <t>Battery cost trend (key margin lever)</t>
        </is>
      </c>
    </row>
    <row r="13" ht="45" customHeight="1">
      <c r="B13" s="65" t="inlineStr">
        <is>
          <t>Lithium-ion pack prices fell ~8% to ~USD 108/kWh in 2025 and are forecast at ~USD 105/kWh in 2026, declining toward ~USD 80-90/kWh by 2030 (BloombergNEF, Dec-2025), aided by cell overcapacity and an ~84% lithium price correction. Batteries are Ather's largest input cost, so this is a structural gross-margin tailwind.</t>
        </is>
      </c>
    </row>
    <row r="14" ht="15" customHeight="1">
      <c r="B14" s="64" t="inlineStr">
        <is>
          <t>Competition</t>
        </is>
      </c>
    </row>
    <row r="15" ht="60" customHeight="1">
      <c r="B15" s="65" t="inlineStr">
        <is>
          <t>Top E2W OEMs (CY2025 / early-2026 Vahan): TVS Motor ~24%, Bajaj Auto ~22%, Ather ~13-18%, with Ola Electric's share collapsing (24.8% Jan-25 to &lt;6% Jan-26), plus Hero/Greaves. TVS and Bajaj are profitable legacy OEMs with large ICE dealer networks; Ola and Ather are pure-play EV challengers still investing for scale. Ather differentiates on software, design and a premium brand.</t>
        </is>
      </c>
    </row>
    <row r="16" ht="15" customHeight="1">
      <c r="B16" s="64" t="inlineStr">
        <is>
          <t>Capital &amp; capacity</t>
        </is>
      </c>
    </row>
    <row r="17" ht="45" customHeight="1">
      <c r="B17" s="65" t="inlineStr">
        <is>
          <t>The IPO raised a fresh issue of ~INR 2,626 cr (~26,260m), used for the new Maharashtra plant (Factory-3, tripling capacity), R&amp;D, debt repayment and marketing. Post-IPO shares outstanding ~372m. Large accumulated tax losses (&gt;INR 40,000m) shield taxable income across the forecast horizon (statutory rate 25.17%).</t>
        </is>
      </c>
    </row>
    <row r="18" ht="15" customHeight="1">
      <c r="B18" s="64" t="inlineStr">
        <is>
          <t>Sources</t>
        </is>
      </c>
    </row>
    <row r="19" ht="60" customHeight="1">
      <c r="B19" s="66" t="inlineStr">
        <is>
          <t>BloombergNEF battery price survey (Dec-2025); SIAM / Vahan registration data; ETAuto, Economic Times, Moneycontrol, Autocar India, Storyboard18, Angel One, Financial Express; IMARC / Renub / TechSci / Kearney industry reports; Ather Energy Annual Reports FY2021-FY2025 (standalone financial statements). Content paraphrased / summarised for licensing compliance.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B2:B23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120" customWidth="1" min="2" max="2"/>
  </cols>
  <sheetData>
    <row r="2">
      <c r="B2" s="15" t="inlineStr">
        <is>
          <t>Ather Energy Ltd — Modelling Notes, Methodology, Risks &amp; Limitations</t>
        </is>
      </c>
    </row>
    <row r="4" ht="15" customHeight="1">
      <c r="B4" s="67" t="inlineStr">
        <is>
          <t>1. Purpose &amp; scope</t>
        </is>
      </c>
    </row>
    <row r="5" ht="60" customHeight="1">
      <c r="B5" s="65" t="inlineStr">
        <is>
          <t>Fully-linked, driver-based operating model and DCF for Ather Energy Ltd. History FY2021-FY2025; forecast FY2026E-FY2033E (8 years). All figures INR millions unless stated. Built to mirror the supplied United Spirits template's structure, colour coding and philosophy. Colour key: BLUE = hardcoded input, GREEN = link/reference to another sheet, BLACK = in-sheet calculation.</t>
        </is>
      </c>
    </row>
    <row r="6" ht="15" customHeight="1">
      <c r="B6" s="67" t="inlineStr">
        <is>
          <t>2. Data basis (consolidated vs standalone)</t>
        </is>
      </c>
    </row>
    <row r="7" ht="105" customHeight="1">
      <c r="B7" s="65" t="inlineStr">
        <is>
          <t>Ather has no subsidiaries and files only STANDALONE Ind AS financial statements; no consolidated statements exist, so standalone is used as the consolidated-equivalent. FY2021/22/24/25 are taken directly from the annual reports in the repository. FY2023's annual reports in the repo are image-only (no text layer); FY2023 was therefore reconstructed from reliable public sources (Economic Times/Moneycontrol: revenue INR 17,836m, total expenses INR 26,706m, net loss INR 8,645m, D&amp;A INR 1,128m) and from anchors verified in the FY2025 report (1-Apr-2023 reserves INR 6,131m; opening borrowings/lease; opening cash INR 826m; FY23 inventory INR 2,574m). FY2023 sub-line splits are estimates that reconcile exactly to the verified totals.</t>
        </is>
      </c>
    </row>
    <row r="8" ht="15" customHeight="1">
      <c r="B8" s="67" t="inlineStr">
        <is>
          <t>3. Revenue methodology</t>
        </is>
      </c>
    </row>
    <row r="9" ht="90" customHeight="1">
      <c r="B9" s="65" t="inlineStr">
        <is>
          <t>Driver-based: vehicle revenue = unit volumes x ASP. Volume growth is set on the Scenarios sheet (Base/Bull/Bear) reflecting E2W market growth plus Ather share gains, tapering over time. ASP reflects the recent Rizta-led mix dip then modest premiumisation. Accessories, software/connectivity and charging are forecast as a % of vehicle revenue (higher-margin recurring streams broken out prospectively); service grows with the installed fleet. Historically these streams were bundled into product/service revenue per Note 20, so a small step-up appears in FY2026.</t>
        </is>
      </c>
    </row>
    <row r="10" ht="15" customHeight="1">
      <c r="B10" s="67" t="inlineStr">
        <is>
          <t>4. Cost, margin &amp; operating leverage</t>
        </is>
      </c>
    </row>
    <row r="11" ht="75" customHeight="1">
      <c r="B11" s="65" t="inlineStr">
        <is>
          <t>Gross margin (Scenarios) expands from ~18% (FY26) to ~28% (FY33) on falling battery costs, scale, localisation/PLI and mix. Employee and other operating expenses are forecast as a declining % of sales, capturing operating leverage as a largely fixed cost base is spread over a fast-growing top line. The model reaches EBITDA breakeven around FY2030 and approaches PAT breakeven by FY2032-FY2033 — a realistic path, neither over-optimistic nor over-pessimistic.</t>
        </is>
      </c>
    </row>
    <row r="12" ht="15" customHeight="1">
      <c r="B12" s="67" t="inlineStr">
        <is>
          <t>5. Schedules</t>
        </is>
      </c>
    </row>
    <row r="13" ht="75" customHeight="1">
      <c r="B13" s="65" t="inlineStr">
        <is>
          <t>PPE, ROU (leases) and intangibles use opening + additions - depreciation/amortisation roll-forwards (capex and additions driven off revenue). Depreciation uses a straight-line life with a half-year convention on additions. Borrowings and leases use opening + net movement roll-forwards with interest on opening balances feeding the finance-cost schedule. A tax schedule tracks carry-forward losses (&gt;INR 40,000m) which keep cash tax at nil across the forecast.</t>
        </is>
      </c>
    </row>
    <row r="14" ht="15" customHeight="1">
      <c r="B14" s="67" t="inlineStr">
        <is>
          <t>6. Integration &amp; balancing</t>
        </is>
      </c>
    </row>
    <row r="15" ht="75" customHeight="1">
      <c r="B15" s="65" t="inlineStr">
        <is>
          <t>The three statements are fully linked with no circular references (interest income/expense use opening balances). The model is FULLY ARTICULATED: every balance-sheet line is forecast from a driver and cash is the genuine output of the cash-flow statement, so the balance sheet balances by accounting identity (no balancing plug). The Error Checks sheet confirms balance-sheet balancing, cash-flow reconciliation, beginning/ending balances and all roll-forwards return PASS for every year.</t>
        </is>
      </c>
    </row>
    <row r="16" ht="15" customHeight="1">
      <c r="B16" s="67" t="inlineStr">
        <is>
          <t>7. Valuation</t>
        </is>
      </c>
    </row>
    <row r="17" ht="60" customHeight="1">
      <c r="B17" s="65" t="inlineStr">
        <is>
          <t>An FCFF DCF discounts unlevered free cash flow at a CAPM-based WACC (Rf 6.8%, ERP 5.2%, beta 1.15 -&gt; ~12.8%), with a 5% terminal growth rate. Because Ather is pre-profit, early FCFF is negative and most value sits in the terminal year; the DCF should be read alongside relative valuation (EV/Sales) and the Base/Bull/Bear scenarios.</t>
        </is>
      </c>
    </row>
    <row r="18" ht="15" customHeight="1">
      <c r="B18" s="67" t="inlineStr">
        <is>
          <t>8. Key risks</t>
        </is>
      </c>
    </row>
    <row r="19" ht="60" customHeight="1">
      <c r="B19" s="65" t="inlineStr">
        <is>
          <t>Demand/competition: aggressive pricing by Ola, TVS, Bajaj could cap volumes/ASP and margins. Margin: slower battery-cost decline or input inflation. Execution: Factory-3 ramp and capex discipline. Funding: the model shows cash thinning by FY2033 — a further capital raise or faster profitability may be required. Policy: changes to PM E-DRIVE/GST incentives. Technology: rare-earth magnet supply and battery-chemistry shifts.</t>
        </is>
      </c>
    </row>
    <row r="20" ht="15" customHeight="1">
      <c r="B20" s="67" t="inlineStr">
        <is>
          <t>9. Limitations</t>
        </is>
      </c>
    </row>
    <row r="21" ht="60" customHeight="1">
      <c r="B21" s="65" t="inlineStr">
        <is>
          <t>FY2023 sub-line items are reconstructed (totals verified). Forecasts are scenario-based judgements, not guidance. Other non-current/other current items are modelled as ratios of sales. The DCF is sensitive to WACC and terminal growth (a sensitivity grid can be layered on). This model is for analytical/educational purposes and is not investment advice.</t>
        </is>
      </c>
    </row>
    <row r="22" ht="15" customHeight="1">
      <c r="B22" s="67" t="inlineStr">
        <is>
          <t>10. How to use</t>
        </is>
      </c>
    </row>
    <row r="23" ht="45" customHeight="1">
      <c r="B23" s="65" t="inlineStr">
        <is>
          <t>Change the single Scenarios!F4 switch (1=Base, 2=Bull, 3=Bear) to flex volume growth and gross margin across the whole model. All other assumptions live on the Assumptions sheet (each with a Source and a plain-language Reason). Inputs are blue; do not type over green links or black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2026-06-26T20:53:08Z</dcterms:created>
  <dcterms:modified xsi:type="dcterms:W3CDTF">2026-06-26T20:53:08Z</dcterms:modified>
</cp:coreProperties>
</file>